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defaultThemeVersion="164011"/>
  <mc:AlternateContent xmlns:mc="http://schemas.openxmlformats.org/markup-compatibility/2006">
    <mc:Choice Requires="x15">
      <x15ac:absPath xmlns:x15ac="http://schemas.microsoft.com/office/spreadsheetml/2010/11/ac" url="C:\Users\jamesb.RM22FMKX10613\Documents\Githubpages\"/>
    </mc:Choice>
  </mc:AlternateContent>
  <bookViews>
    <workbookView xWindow="0" yWindow="0" windowWidth="15300" windowHeight="5700" activeTab="7"/>
  </bookViews>
  <sheets>
    <sheet name="Sheet1" sheetId="1" r:id="rId1"/>
    <sheet name="p1" sheetId="2" r:id="rId2"/>
    <sheet name="p2" sheetId="3" r:id="rId3"/>
    <sheet name="p3" sheetId="4" r:id="rId4"/>
    <sheet name="p4" sheetId="5" r:id="rId5"/>
    <sheet name="p5" sheetId="6" r:id="rId6"/>
    <sheet name="p6" sheetId="7" r:id="rId7"/>
    <sheet name="Total Rank" sheetId="8" r:id="rId8"/>
  </sheets>
  <functionGroups builtInGroupCount="18"/>
  <definedNames>
    <definedName name="_xlnm._FilterDatabase" localSheetId="1" hidden="1">'p1'!$A$1:$U$104</definedName>
    <definedName name="_xlnm._FilterDatabase" localSheetId="2" hidden="1">'p2'!$A$1:$S$190</definedName>
    <definedName name="_xlnm._FilterDatabase" localSheetId="3" hidden="1">'p3'!$A$1:$V$246</definedName>
    <definedName name="_xlnm._FilterDatabase" localSheetId="4" hidden="1">'p4'!$A$1:$V$131</definedName>
    <definedName name="_xlnm._FilterDatabase" localSheetId="5" hidden="1">'p5'!$A$1:$O$39</definedName>
    <definedName name="_xlnm._FilterDatabase" localSheetId="6" hidden="1">'p6'!$A$1:$R$33</definedName>
    <definedName name="_xlnm._FilterDatabase" localSheetId="7" hidden="1">'Total Rank'!$A$1:$E$738</definedName>
    <definedName name="boxscorequick?leagueId__teamId__scoringPeriodId__seasonId__view_scoringperiod_version_quick" localSheetId="0">Sheet1!#REF!</definedName>
    <definedName name="boxscorequick?leagueId__teamId__scoringPeriodId__seasonId__view_scoringperiod_version_quick_1" localSheetId="0">Sheet1!#REF!</definedName>
    <definedName name="boxscorequick?leagueId__teamId__scoringPeriodId__seasonId__view_scoringperiod_version_quick_2" localSheetId="0">Sheet1!#REF!</definedName>
    <definedName name="ExternalData_1" localSheetId="0">Sheet1!#REF!</definedName>
    <definedName name="ExternalData_10" localSheetId="0">Sheet1!$A$1:$N$125</definedName>
    <definedName name="ExternalData_100" localSheetId="0">Sheet1!$A$1:$T$128</definedName>
    <definedName name="ExternalData_101" localSheetId="0">Sheet1!$A$1:$T$126</definedName>
    <definedName name="ExternalData_102" localSheetId="0">Sheet1!$A$1:$T$127</definedName>
    <definedName name="ExternalData_103" localSheetId="0">Sheet1!$A$1:$T$126</definedName>
    <definedName name="ExternalData_104" localSheetId="0">Sheet1!$A$1:$T$126</definedName>
    <definedName name="ExternalData_105" localSheetId="0">Sheet1!$A$1:$R$130</definedName>
    <definedName name="ExternalData_106" localSheetId="0">Sheet1!$A$1:$R$127</definedName>
    <definedName name="ExternalData_107" localSheetId="0">Sheet1!$A$1:$R$130</definedName>
    <definedName name="ExternalData_108" localSheetId="0">Sheet1!$A$1:$R$129</definedName>
    <definedName name="ExternalData_109" localSheetId="0">Sheet1!$A$1:$R$128</definedName>
    <definedName name="ExternalData_11" localSheetId="0">Sheet1!$A$1:$N$125</definedName>
    <definedName name="ExternalData_110" localSheetId="0">Sheet1!$A$1:$R$130</definedName>
    <definedName name="ExternalData_111" localSheetId="0">Sheet1!$A$1:$R$128</definedName>
    <definedName name="ExternalData_112" localSheetId="0">Sheet1!$A$1:$R$129</definedName>
    <definedName name="ExternalData_113" localSheetId="0">Sheet1!$A$1:$R$128</definedName>
    <definedName name="ExternalData_114" localSheetId="0">Sheet1!$A$1:$R$130</definedName>
    <definedName name="ExternalData_115" localSheetId="0">Sheet1!$A$1:$U$132</definedName>
    <definedName name="ExternalData_116" localSheetId="0">Sheet1!$A$1:$U$130</definedName>
    <definedName name="ExternalData_117" localSheetId="0">Sheet1!$A$1:$U$129</definedName>
    <definedName name="ExternalData_118" localSheetId="0">Sheet1!$A$1:$U$129</definedName>
    <definedName name="ExternalData_119" localSheetId="0">Sheet1!$A$1:$U$131</definedName>
    <definedName name="ExternalData_12" localSheetId="0">Sheet1!$A$1:$N$124</definedName>
    <definedName name="ExternalData_120" localSheetId="0">Sheet1!$A$1:$U$133</definedName>
    <definedName name="ExternalData_121" localSheetId="0">Sheet1!$A$1:$U$130</definedName>
    <definedName name="ExternalData_122" localSheetId="0">Sheet1!$A$1:$U$130</definedName>
    <definedName name="ExternalData_123" localSheetId="0">Sheet1!$A$1:$U$130</definedName>
    <definedName name="ExternalData_124" localSheetId="0">Sheet1!$A$1:$U$131</definedName>
    <definedName name="ExternalData_125" localSheetId="0">Sheet1!$A$1:$U$129</definedName>
    <definedName name="ExternalData_126" localSheetId="0">Sheet1!$A$1:$U$127</definedName>
    <definedName name="ExternalData_127" localSheetId="0">Sheet1!$A$1:$U$126</definedName>
    <definedName name="ExternalData_128" localSheetId="0">Sheet1!$A$1:$U$127</definedName>
    <definedName name="ExternalData_129" localSheetId="0">Sheet1!$A$1:$U$126</definedName>
    <definedName name="ExternalData_13" localSheetId="0">Sheet1!$A$1:$N$124</definedName>
    <definedName name="ExternalData_130" localSheetId="0">Sheet1!$A$1:$U$127</definedName>
    <definedName name="ExternalData_131" localSheetId="0">Sheet1!$A$1:$U$129</definedName>
    <definedName name="ExternalData_132" localSheetId="0">Sheet1!$A$1:$U$128</definedName>
    <definedName name="ExternalData_133" localSheetId="0">Sheet1!$A$1:$U$126</definedName>
    <definedName name="ExternalData_134" localSheetId="0">Sheet1!$A$1:$U$128</definedName>
    <definedName name="ExternalData_135" localSheetId="0">Sheet1!$A$1:$N$124</definedName>
    <definedName name="ExternalData_136" localSheetId="0">Sheet1!$A$1:$N$124</definedName>
    <definedName name="ExternalData_137" localSheetId="0">Sheet1!$A$1:$N$124</definedName>
    <definedName name="ExternalData_138" localSheetId="0">Sheet1!$A$1:$N$124</definedName>
    <definedName name="ExternalData_139" localSheetId="0">Sheet1!$A$1:$N$124</definedName>
    <definedName name="ExternalData_14" localSheetId="0">Sheet1!$A$1:$N$124</definedName>
    <definedName name="ExternalData_140" localSheetId="0">Sheet1!$A$1:$N$124</definedName>
    <definedName name="ExternalData_141" localSheetId="0">Sheet1!$A$1:$N$124</definedName>
    <definedName name="ExternalData_142" localSheetId="0">Sheet1!$A$1:$N$124</definedName>
    <definedName name="ExternalData_143" localSheetId="0">Sheet1!$A$1:$N$124</definedName>
    <definedName name="ExternalData_144" localSheetId="0">Sheet1!$A$1:$N$124</definedName>
    <definedName name="ExternalData_145" localSheetId="0">Sheet1!$A$1:$Q$124</definedName>
    <definedName name="ExternalData_146" localSheetId="0">Sheet1!$A$1:$Q$124</definedName>
    <definedName name="ExternalData_147" localSheetId="0">Sheet1!$A$1:$Q$124</definedName>
    <definedName name="ExternalData_148" localSheetId="0">Sheet1!$A$1:$Q$124</definedName>
    <definedName name="ExternalData_149" localSheetId="0">Sheet1!$A$1:$Q$124</definedName>
    <definedName name="ExternalData_15" localSheetId="0">Sheet1!$A$1:$N$124</definedName>
    <definedName name="ExternalData_150" localSheetId="0">Sheet1!$A$1:$Q$124</definedName>
    <definedName name="ExternalData_151" localSheetId="0">Sheet1!$A$1:$Q$124</definedName>
    <definedName name="ExternalData_152" localSheetId="0">Sheet1!$A$1:$Q$124</definedName>
    <definedName name="ExternalData_153" localSheetId="0">Sheet1!$A$1:$Q$124</definedName>
    <definedName name="ExternalData_154" localSheetId="0">Sheet1!$A$1:$Q$124</definedName>
    <definedName name="ExternalData_155" localSheetId="0">Sheet1!$A$1:$T$126</definedName>
    <definedName name="ExternalData_156" localSheetId="0">Sheet1!$A$1:$T$126</definedName>
    <definedName name="ExternalData_157" localSheetId="0">Sheet1!$A$1:$T$127</definedName>
    <definedName name="ExternalData_158" localSheetId="0">Sheet1!$A$1:$T$126</definedName>
    <definedName name="ExternalData_159" localSheetId="0">Sheet1!$A$1:$T$126</definedName>
    <definedName name="ExternalData_16" localSheetId="0">Sheet1!$A$1:$N$125</definedName>
    <definedName name="ExternalData_160" localSheetId="0">Sheet1!$A$1:$T$126</definedName>
    <definedName name="ExternalData_161" localSheetId="0">Sheet1!$A$1:$R$131</definedName>
    <definedName name="ExternalData_162" localSheetId="0">Sheet1!$A$1:$R$131</definedName>
    <definedName name="ExternalData_163" localSheetId="0">Sheet1!$A$1:$R$130</definedName>
    <definedName name="ExternalData_164" localSheetId="0">Sheet1!$A$1:$R$130</definedName>
    <definedName name="ExternalData_165" localSheetId="0">Sheet1!$A$1:$R$127</definedName>
    <definedName name="ExternalData_166" localSheetId="0">Sheet1!$A$1:$R$127</definedName>
    <definedName name="ExternalData_167" localSheetId="0">Sheet1!$A$1:$U$130</definedName>
    <definedName name="ExternalData_168" localSheetId="0">Sheet1!$A$1:$U$129</definedName>
    <definedName name="ExternalData_169" localSheetId="0">Sheet1!$A$1:$U$131</definedName>
    <definedName name="ExternalData_17" localSheetId="0">Sheet1!$A$1:$T$126</definedName>
    <definedName name="ExternalData_170" localSheetId="0">Sheet1!$A$1:$U$128</definedName>
    <definedName name="ExternalData_171" localSheetId="0">Sheet1!$A$1:$U$130</definedName>
    <definedName name="ExternalData_172" localSheetId="0">Sheet1!$A$1:$U$130</definedName>
    <definedName name="ExternalData_173" localSheetId="0">Sheet1!$A$1:$U$126</definedName>
    <definedName name="ExternalData_174" localSheetId="0">Sheet1!$A$1:$U$127</definedName>
    <definedName name="ExternalData_175" localSheetId="0">Sheet1!$A$1:$U$127</definedName>
    <definedName name="ExternalData_176" localSheetId="0">Sheet1!$A$1:$U$127</definedName>
    <definedName name="ExternalData_177" localSheetId="0">Sheet1!$A$1:$U$126</definedName>
    <definedName name="ExternalData_178" localSheetId="0">Sheet1!$A$1:$U$128</definedName>
    <definedName name="ExternalData_179" localSheetId="0">Sheet1!$A$1:$N$125</definedName>
    <definedName name="ExternalData_18" localSheetId="0">Sheet1!$A$1:$R$127</definedName>
    <definedName name="ExternalData_180" localSheetId="0">Sheet1!$A$1:$N$125</definedName>
    <definedName name="ExternalData_181" localSheetId="0">Sheet1!$A$1:$N$124</definedName>
    <definedName name="ExternalData_182" localSheetId="0">Sheet1!$A$1:$N$124</definedName>
    <definedName name="ExternalData_183" localSheetId="0">Sheet1!$A$1:$N$125</definedName>
    <definedName name="ExternalData_184" localSheetId="0">Sheet1!$A$1:$N$125</definedName>
    <definedName name="ExternalData_185" localSheetId="0">Sheet1!$A$1:$Q$124</definedName>
    <definedName name="ExternalData_186" localSheetId="0">Sheet1!$A$1:$Q$124</definedName>
    <definedName name="ExternalData_187" localSheetId="0">Sheet1!$A$1:$Q$124</definedName>
    <definedName name="ExternalData_188" localSheetId="0">Sheet1!$A$1:$Q$124</definedName>
    <definedName name="ExternalData_189" localSheetId="0">Sheet1!$A$1:$Q$124</definedName>
    <definedName name="ExternalData_19" localSheetId="0">Sheet1!$A$1:$U$130</definedName>
    <definedName name="ExternalData_190" localSheetId="0">Sheet1!$A$1:$Q$124</definedName>
    <definedName name="ExternalData_191" localSheetId="0">Sheet1!$A$1:$T$126</definedName>
    <definedName name="ExternalData_192" localSheetId="0">Sheet1!$A$1:$T$124</definedName>
    <definedName name="ExternalData_193" localSheetId="0">Sheet1!$A$1:$T$127</definedName>
    <definedName name="ExternalData_194" localSheetId="0">Sheet1!$A$1:$T$127</definedName>
    <definedName name="ExternalData_195" localSheetId="0">Sheet1!$A$1:$T$126</definedName>
    <definedName name="ExternalData_196" localSheetId="0">Sheet1!$A$1:$T$126</definedName>
    <definedName name="ExternalData_197" localSheetId="0">Sheet1!$A$1:$R$127</definedName>
    <definedName name="ExternalData_198" localSheetId="0">Sheet1!$A$1:$R$127</definedName>
    <definedName name="ExternalData_199" localSheetId="0">Sheet1!$A$1:$R$130</definedName>
    <definedName name="ExternalData_2" localSheetId="0">Sheet1!#REF!</definedName>
    <definedName name="ExternalData_20" localSheetId="0">Sheet1!$A$1:$U$126</definedName>
    <definedName name="ExternalData_200" localSheetId="0">Sheet1!$A$1:$R$128</definedName>
    <definedName name="ExternalData_201" localSheetId="0">Sheet1!$A$1:$R$130</definedName>
    <definedName name="ExternalData_202" localSheetId="0">Sheet1!$A$1:$R$128</definedName>
    <definedName name="ExternalData_203" localSheetId="0">Sheet1!$A$1:$U$130</definedName>
    <definedName name="ExternalData_204" localSheetId="0">Sheet1!$A$1:$U$130</definedName>
    <definedName name="ExternalData_205" localSheetId="0">Sheet1!$A$1:$U$130</definedName>
    <definedName name="ExternalData_206" localSheetId="0">Sheet1!$A$1:$U$131</definedName>
    <definedName name="ExternalData_207" localSheetId="0">Sheet1!$A$1:$U$131</definedName>
    <definedName name="ExternalData_208" localSheetId="0">Sheet1!$A$1:$U$129</definedName>
    <definedName name="ExternalData_209" localSheetId="0">Sheet1!$A$1:$U$127</definedName>
    <definedName name="ExternalData_21" localSheetId="0">Sheet1!$A$1:$Q$124</definedName>
    <definedName name="ExternalData_210" localSheetId="0">Sheet1!$A$1:$U$128</definedName>
    <definedName name="ExternalData_211" localSheetId="0">Sheet1!$A$1:$U$126</definedName>
    <definedName name="ExternalData_212" localSheetId="0">Sheet1!$A$1:$U$127</definedName>
    <definedName name="ExternalData_213" localSheetId="0">Sheet1!$A$1:$U$127</definedName>
    <definedName name="ExternalData_214" localSheetId="0">Sheet1!$A$1:$U$129</definedName>
    <definedName name="ExternalData_215" localSheetId="0">Sheet1!$A$1:$N$124</definedName>
    <definedName name="ExternalData_216" localSheetId="0">Sheet1!$A$1:$N$124</definedName>
    <definedName name="ExternalData_217" localSheetId="0">Sheet1!$A$1:$N$124</definedName>
    <definedName name="ExternalData_218" localSheetId="0">Sheet1!$A$1:$N$124</definedName>
    <definedName name="ExternalData_219" localSheetId="0">Sheet1!$A$1:$N$124</definedName>
    <definedName name="ExternalData_22" localSheetId="0">Sheet1!$A$1:$T$126</definedName>
    <definedName name="ExternalData_220" localSheetId="0">Sheet1!$A$1:$N$124</definedName>
    <definedName name="ExternalData_221" localSheetId="0">Sheet1!$A$1:$Q$124</definedName>
    <definedName name="ExternalData_222" localSheetId="0">Sheet1!$A$1:$Q$124</definedName>
    <definedName name="ExternalData_223" localSheetId="0">Sheet1!$A$1:$Q$124</definedName>
    <definedName name="ExternalData_224" localSheetId="0">Sheet1!$A$1:$Q$124</definedName>
    <definedName name="ExternalData_225" localSheetId="0">Sheet1!$A$1:$Q$124</definedName>
    <definedName name="ExternalData_226" localSheetId="0">Sheet1!$A$1:$Q$124</definedName>
    <definedName name="ExternalData_23" localSheetId="0">Sheet1!$A$1:$R$127</definedName>
    <definedName name="ExternalData_24" localSheetId="0">Sheet1!$A$1:$U$130</definedName>
    <definedName name="ExternalData_25" localSheetId="0">Sheet1!$A$1:$T$126</definedName>
    <definedName name="ExternalData_26" localSheetId="0">Sheet1!$A$1:$T$126</definedName>
    <definedName name="ExternalData_27" localSheetId="0">Sheet1!$A$1:$T$126</definedName>
    <definedName name="ExternalData_28" localSheetId="0">Sheet1!$A$1:$T$126</definedName>
    <definedName name="ExternalData_29" localSheetId="0">Sheet1!$A$1:$T$126</definedName>
    <definedName name="ExternalData_3" localSheetId="0">Sheet1!#REF!</definedName>
    <definedName name="ExternalData_30" localSheetId="0">Sheet1!$A$1:$T$126</definedName>
    <definedName name="ExternalData_31" localSheetId="0">Sheet1!$A$1:$T$126</definedName>
    <definedName name="ExternalData_32" localSheetId="0">Sheet1!$A$1:$T$126</definedName>
    <definedName name="ExternalData_33" localSheetId="0">Sheet1!$A$1:$T$126</definedName>
    <definedName name="ExternalData_34" localSheetId="0">Sheet1!$A$1:$T$126</definedName>
    <definedName name="ExternalData_35" localSheetId="0">Sheet1!$A$1:$T$126</definedName>
    <definedName name="ExternalData_36" localSheetId="0">Sheet1!$A$1:$R$128</definedName>
    <definedName name="ExternalData_37" localSheetId="0">Sheet1!$A$1:$U$130</definedName>
    <definedName name="ExternalData_38" localSheetId="0">Sheet1!$A$1:$U$127</definedName>
    <definedName name="ExternalData_39" localSheetId="0">Sheet1!$A$1:$N$124</definedName>
    <definedName name="ExternalData_4" localSheetId="0">Sheet1!#REF!</definedName>
    <definedName name="ExternalData_40" localSheetId="0">Sheet1!$A$1:$Q$124</definedName>
    <definedName name="ExternalData_41" localSheetId="0">Sheet1!$A$1:$T$127</definedName>
    <definedName name="ExternalData_42" localSheetId="0">Sheet1!$A$1:$T$127</definedName>
    <definedName name="ExternalData_43" localSheetId="0">Sheet1!$A$1:$T$126</definedName>
    <definedName name="ExternalData_44" localSheetId="0">Sheet1!$A$1:$T$126</definedName>
    <definedName name="ExternalData_45" localSheetId="0">Sheet1!$A$1:$R$129</definedName>
    <definedName name="ExternalData_46" localSheetId="0">Sheet1!$A$1:$R$130</definedName>
    <definedName name="ExternalData_47" localSheetId="0">Sheet1!$A$1:$R$132</definedName>
    <definedName name="ExternalData_48" localSheetId="0">Sheet1!$A$1:$R$128</definedName>
    <definedName name="ExternalData_49" localSheetId="0">Sheet1!$A$1:$U$132</definedName>
    <definedName name="ExternalData_5" localSheetId="0">Sheet1!$A$1:$N$125</definedName>
    <definedName name="ExternalData_50" localSheetId="0">Sheet1!$A$1:$U$134</definedName>
    <definedName name="ExternalData_51" localSheetId="0">Sheet1!$A$1:$U$134</definedName>
    <definedName name="ExternalData_52" localSheetId="0">Sheet1!$A$1:$U$133</definedName>
    <definedName name="ExternalData_53" localSheetId="0">Sheet1!$A$1:$U$126</definedName>
    <definedName name="ExternalData_54" localSheetId="0">Sheet1!$A$1:$U$128</definedName>
    <definedName name="ExternalData_55" localSheetId="0">Sheet1!$A$1:$U$127</definedName>
    <definedName name="ExternalData_56" localSheetId="0">Sheet1!$A$1:$U$127</definedName>
    <definedName name="ExternalData_57" localSheetId="0">Sheet1!$A$1:$N$124</definedName>
    <definedName name="ExternalData_58" localSheetId="0">Sheet1!$A$1:$N$124</definedName>
    <definedName name="ExternalData_59" localSheetId="0">Sheet1!$A$1:$N$124</definedName>
    <definedName name="ExternalData_6" localSheetId="0">Sheet1!$A$1:$N$125</definedName>
    <definedName name="ExternalData_60" localSheetId="0">Sheet1!$A$1:$N$124</definedName>
    <definedName name="ExternalData_61" localSheetId="0">Sheet1!$A$1:$Q$124</definedName>
    <definedName name="ExternalData_62" localSheetId="0">Sheet1!$A$1:$Q$124</definedName>
    <definedName name="ExternalData_63" localSheetId="0">Sheet1!$A$1:$Q$124</definedName>
    <definedName name="ExternalData_64" localSheetId="0">Sheet1!$A$1:$Q$124</definedName>
    <definedName name="ExternalData_65" localSheetId="0">Sheet1!$A$1:$T$128</definedName>
    <definedName name="ExternalData_66" localSheetId="0">Sheet1!$A$1:$T$126</definedName>
    <definedName name="ExternalData_67" localSheetId="0">Sheet1!$A$1:$T$127</definedName>
    <definedName name="ExternalData_68" localSheetId="0">Sheet1!$A$1:$T$126</definedName>
    <definedName name="ExternalData_69" localSheetId="0">Sheet1!$A$1:$T$126</definedName>
    <definedName name="ExternalData_7" localSheetId="0">Sheet1!$A$1:$N$125</definedName>
    <definedName name="ExternalData_70" localSheetId="0">Sheet1!$A$1:$R$129</definedName>
    <definedName name="ExternalData_71" localSheetId="0">Sheet1!$A$1:$R$127</definedName>
    <definedName name="ExternalData_72" localSheetId="0">Sheet1!$A$1:$R$130</definedName>
    <definedName name="ExternalData_73" localSheetId="0">Sheet1!$A$1:$R$129</definedName>
    <definedName name="ExternalData_74" localSheetId="0">Sheet1!$A$1:$R$128</definedName>
    <definedName name="ExternalData_75" localSheetId="0">Sheet1!$A$1:$U$132</definedName>
    <definedName name="ExternalData_76" localSheetId="0">Sheet1!$A$1:$U$129</definedName>
    <definedName name="ExternalData_77" localSheetId="0">Sheet1!$A$1:$U$133</definedName>
    <definedName name="ExternalData_78" localSheetId="0">Sheet1!$A$1:$U$130</definedName>
    <definedName name="ExternalData_79" localSheetId="0">Sheet1!$A$1:$U$130</definedName>
    <definedName name="ExternalData_8" localSheetId="0">Sheet1!$A$1:$N$125</definedName>
    <definedName name="ExternalData_80" localSheetId="0">Sheet1!$A$1:$U$127</definedName>
    <definedName name="ExternalData_81" localSheetId="0">Sheet1!$A$1:$U$127</definedName>
    <definedName name="ExternalData_82" localSheetId="0">Sheet1!$A$1:$U$126</definedName>
    <definedName name="ExternalData_83" localSheetId="0">Sheet1!$A$1:$U$126</definedName>
    <definedName name="ExternalData_84" localSheetId="0">Sheet1!$A$1:$U$127</definedName>
    <definedName name="ExternalData_85" localSheetId="0">Sheet1!$A$1:$N$124</definedName>
    <definedName name="ExternalData_86" localSheetId="0">Sheet1!$A$1:$N$125</definedName>
    <definedName name="ExternalData_87" localSheetId="0">Sheet1!$A$1:$N$125</definedName>
    <definedName name="ExternalData_88" localSheetId="0">Sheet1!$A$1:$N$124</definedName>
    <definedName name="ExternalData_89" localSheetId="0">Sheet1!$A$1:$N$124</definedName>
    <definedName name="ExternalData_9" localSheetId="0">Sheet1!$A$1:$N$125</definedName>
    <definedName name="ExternalData_90" localSheetId="0">Sheet1!$A$1:$Q$124</definedName>
    <definedName name="ExternalData_91" localSheetId="0">Sheet1!$A$1:$Q$124</definedName>
    <definedName name="ExternalData_92" localSheetId="0">Sheet1!$A$1:$Q$124</definedName>
    <definedName name="ExternalData_93" localSheetId="0">Sheet1!$A$1:$Q$124</definedName>
    <definedName name="ExternalData_94" localSheetId="0">Sheet1!$A$1:$Q$124</definedName>
    <definedName name="ExternalData_95" localSheetId="0">Sheet1!$A$1:$T$126</definedName>
    <definedName name="ExternalData_96" localSheetId="0">Sheet1!$A$1:$T$125</definedName>
    <definedName name="ExternalData_97" localSheetId="0">Sheet1!$A$1:$T$126</definedName>
    <definedName name="ExternalData_98" localSheetId="0">Sheet1!$A$1:$T$126</definedName>
    <definedName name="ExternalData_99" localSheetId="0">Sheet1!$A$1:$T$125</definedName>
    <definedName name="player_select">'Total Rank'!$M$3</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738" i="8" l="1"/>
  <c r="H737" i="8"/>
  <c r="H736" i="8"/>
  <c r="H735" i="8"/>
  <c r="H734" i="8"/>
  <c r="H733" i="8"/>
  <c r="H732" i="8"/>
  <c r="H731" i="8"/>
  <c r="H730" i="8"/>
  <c r="H729" i="8"/>
  <c r="H728" i="8"/>
  <c r="H727" i="8"/>
  <c r="H726" i="8"/>
  <c r="H725" i="8"/>
  <c r="H724" i="8"/>
  <c r="H723" i="8"/>
  <c r="H722" i="8"/>
  <c r="H721" i="8"/>
  <c r="H720" i="8"/>
  <c r="H719" i="8"/>
  <c r="H718" i="8"/>
  <c r="H717" i="8"/>
  <c r="H716" i="8"/>
  <c r="H715" i="8"/>
  <c r="H714" i="8"/>
  <c r="H713" i="8"/>
  <c r="H712" i="8"/>
  <c r="H711" i="8"/>
  <c r="H710" i="8"/>
  <c r="H709" i="8"/>
  <c r="H708" i="8"/>
  <c r="H707" i="8"/>
  <c r="H706" i="8"/>
  <c r="H705" i="8"/>
  <c r="H704" i="8"/>
  <c r="H703" i="8"/>
  <c r="H702" i="8"/>
  <c r="H701" i="8"/>
  <c r="H700" i="8"/>
  <c r="H699" i="8"/>
  <c r="H698" i="8"/>
  <c r="H697" i="8"/>
  <c r="H696" i="8"/>
  <c r="H695" i="8"/>
  <c r="H694" i="8"/>
  <c r="H693" i="8"/>
  <c r="H692" i="8"/>
  <c r="H691" i="8"/>
  <c r="H690" i="8"/>
  <c r="H689" i="8"/>
  <c r="H688" i="8"/>
  <c r="H687" i="8"/>
  <c r="H686" i="8"/>
  <c r="H685" i="8"/>
  <c r="H684" i="8"/>
  <c r="H683" i="8"/>
  <c r="H682" i="8"/>
  <c r="H681" i="8"/>
  <c r="H680" i="8"/>
  <c r="H679" i="8"/>
  <c r="H678" i="8"/>
  <c r="H677" i="8"/>
  <c r="H676" i="8"/>
  <c r="H675" i="8"/>
  <c r="H674" i="8"/>
  <c r="H673" i="8"/>
  <c r="H672" i="8"/>
  <c r="H671" i="8"/>
  <c r="H670" i="8"/>
  <c r="H669" i="8"/>
  <c r="H668" i="8"/>
  <c r="H667" i="8"/>
  <c r="H666" i="8"/>
  <c r="H665" i="8"/>
  <c r="H664" i="8"/>
  <c r="H663" i="8"/>
  <c r="H662" i="8"/>
  <c r="H661" i="8"/>
  <c r="H660" i="8"/>
  <c r="H659" i="8"/>
  <c r="H658" i="8"/>
  <c r="H657" i="8"/>
  <c r="H656" i="8"/>
  <c r="H655" i="8"/>
  <c r="H654" i="8"/>
  <c r="H653" i="8"/>
  <c r="H652" i="8"/>
  <c r="H651" i="8"/>
  <c r="H650" i="8"/>
  <c r="H649" i="8"/>
  <c r="H648" i="8"/>
  <c r="H647" i="8"/>
  <c r="H646" i="8"/>
  <c r="H645" i="8"/>
  <c r="H644" i="8"/>
  <c r="H643" i="8"/>
  <c r="H642" i="8"/>
  <c r="H641" i="8"/>
  <c r="H640" i="8"/>
  <c r="H639" i="8"/>
  <c r="H638" i="8"/>
  <c r="H637" i="8"/>
  <c r="H636" i="8"/>
  <c r="H635" i="8"/>
  <c r="H634" i="8"/>
  <c r="H633" i="8"/>
  <c r="H632" i="8"/>
  <c r="H631" i="8"/>
  <c r="H630" i="8"/>
  <c r="H629" i="8"/>
  <c r="H628" i="8"/>
  <c r="H627" i="8"/>
  <c r="H626" i="8"/>
  <c r="H625" i="8"/>
  <c r="H624" i="8"/>
  <c r="H623" i="8"/>
  <c r="H622" i="8"/>
  <c r="H621" i="8"/>
  <c r="H620" i="8"/>
  <c r="H619" i="8"/>
  <c r="H618" i="8"/>
  <c r="H617" i="8"/>
  <c r="H616" i="8"/>
  <c r="H615" i="8"/>
  <c r="H614" i="8"/>
  <c r="H613" i="8"/>
  <c r="H612" i="8"/>
  <c r="H611" i="8"/>
  <c r="H610" i="8"/>
  <c r="H609" i="8"/>
  <c r="H608" i="8"/>
  <c r="H607" i="8"/>
  <c r="H606" i="8"/>
  <c r="H605" i="8"/>
  <c r="H604" i="8"/>
  <c r="H603" i="8"/>
  <c r="H602" i="8"/>
  <c r="H601" i="8"/>
  <c r="H600" i="8"/>
  <c r="H599" i="8"/>
  <c r="H598" i="8"/>
  <c r="H597" i="8"/>
  <c r="H596" i="8"/>
  <c r="H595" i="8"/>
  <c r="H594" i="8"/>
  <c r="H593" i="8"/>
  <c r="H592" i="8"/>
  <c r="H591" i="8"/>
  <c r="H590" i="8"/>
  <c r="H589" i="8"/>
  <c r="H588" i="8"/>
  <c r="H587" i="8"/>
  <c r="H586" i="8"/>
  <c r="H585" i="8"/>
  <c r="H584" i="8"/>
  <c r="H583" i="8"/>
  <c r="H582" i="8"/>
  <c r="H581" i="8"/>
  <c r="H580" i="8"/>
  <c r="H579" i="8"/>
  <c r="H578" i="8"/>
  <c r="H577" i="8"/>
  <c r="H576" i="8"/>
  <c r="H575" i="8"/>
  <c r="H574" i="8"/>
  <c r="H573" i="8"/>
  <c r="H572" i="8"/>
  <c r="H571" i="8"/>
  <c r="H570" i="8"/>
  <c r="H569" i="8"/>
  <c r="H568" i="8"/>
  <c r="H567" i="8"/>
  <c r="H566" i="8"/>
  <c r="H565" i="8"/>
  <c r="H564" i="8"/>
  <c r="H563" i="8"/>
  <c r="H562" i="8"/>
  <c r="H561" i="8"/>
  <c r="H560" i="8"/>
  <c r="H559" i="8"/>
  <c r="H558" i="8"/>
  <c r="H557" i="8"/>
  <c r="H556" i="8"/>
  <c r="H555" i="8"/>
  <c r="H554" i="8"/>
  <c r="H553" i="8"/>
  <c r="H552" i="8"/>
  <c r="H551" i="8"/>
  <c r="H550" i="8"/>
  <c r="H549" i="8"/>
  <c r="H548" i="8"/>
  <c r="H547" i="8"/>
  <c r="H546" i="8"/>
  <c r="H545" i="8"/>
  <c r="H544" i="8"/>
  <c r="H543" i="8"/>
  <c r="H542" i="8"/>
  <c r="H541" i="8"/>
  <c r="H540" i="8"/>
  <c r="H539" i="8"/>
  <c r="H538" i="8"/>
  <c r="H537" i="8"/>
  <c r="H536" i="8"/>
  <c r="H535" i="8"/>
  <c r="H534" i="8"/>
  <c r="H533" i="8"/>
  <c r="H532" i="8"/>
  <c r="H531" i="8"/>
  <c r="H530" i="8"/>
  <c r="H529" i="8"/>
  <c r="H528" i="8"/>
  <c r="H527" i="8"/>
  <c r="H526" i="8"/>
  <c r="H525" i="8"/>
  <c r="H524" i="8"/>
  <c r="H523" i="8"/>
  <c r="H522" i="8"/>
  <c r="H521" i="8"/>
  <c r="H520" i="8"/>
  <c r="H519" i="8"/>
  <c r="H518" i="8"/>
  <c r="H517" i="8"/>
  <c r="H516" i="8"/>
  <c r="H515" i="8"/>
  <c r="H514" i="8"/>
  <c r="H513" i="8"/>
  <c r="H512" i="8"/>
  <c r="H511" i="8"/>
  <c r="H510" i="8"/>
  <c r="H509" i="8"/>
  <c r="H508" i="8"/>
  <c r="H507" i="8"/>
  <c r="H506" i="8"/>
  <c r="H505" i="8"/>
  <c r="H504" i="8"/>
  <c r="H503" i="8"/>
  <c r="H502" i="8"/>
  <c r="H501" i="8"/>
  <c r="H500" i="8"/>
  <c r="H499" i="8"/>
  <c r="H498" i="8"/>
  <c r="H497" i="8"/>
  <c r="H496" i="8"/>
  <c r="H495" i="8"/>
  <c r="H494" i="8"/>
  <c r="H493" i="8"/>
  <c r="H492" i="8"/>
  <c r="H491" i="8"/>
  <c r="H490" i="8"/>
  <c r="H489" i="8"/>
  <c r="H488" i="8"/>
  <c r="H487" i="8"/>
  <c r="H486" i="8"/>
  <c r="H485" i="8"/>
  <c r="H484" i="8"/>
  <c r="H483" i="8"/>
  <c r="H482" i="8"/>
  <c r="H481" i="8"/>
  <c r="H480" i="8"/>
  <c r="H479" i="8"/>
  <c r="H478" i="8"/>
  <c r="H477" i="8"/>
  <c r="H476" i="8"/>
  <c r="H475" i="8"/>
  <c r="H474" i="8"/>
  <c r="H473" i="8"/>
  <c r="H472" i="8"/>
  <c r="H471" i="8"/>
  <c r="H470" i="8"/>
  <c r="H469" i="8"/>
  <c r="H468" i="8"/>
  <c r="H467" i="8"/>
  <c r="H466" i="8"/>
  <c r="H465" i="8"/>
  <c r="H464" i="8"/>
  <c r="H463" i="8"/>
  <c r="H462" i="8"/>
  <c r="H461" i="8"/>
  <c r="H460" i="8"/>
  <c r="H459" i="8"/>
  <c r="H458" i="8"/>
  <c r="H457" i="8"/>
  <c r="H456" i="8"/>
  <c r="H455" i="8"/>
  <c r="H454" i="8"/>
  <c r="H453" i="8"/>
  <c r="H452" i="8"/>
  <c r="H451" i="8"/>
  <c r="H450" i="8"/>
  <c r="H449" i="8"/>
  <c r="H448" i="8"/>
  <c r="H447" i="8"/>
  <c r="H446" i="8"/>
  <c r="H445" i="8"/>
  <c r="H444" i="8"/>
  <c r="H443" i="8"/>
  <c r="H442" i="8"/>
  <c r="H441" i="8"/>
  <c r="H440" i="8"/>
  <c r="H439" i="8"/>
  <c r="H438" i="8"/>
  <c r="H437" i="8"/>
  <c r="H436" i="8"/>
  <c r="H435" i="8"/>
  <c r="H434" i="8"/>
  <c r="H433" i="8"/>
  <c r="H432" i="8"/>
  <c r="H431" i="8"/>
  <c r="H430" i="8"/>
  <c r="H429" i="8"/>
  <c r="H428" i="8"/>
  <c r="H427" i="8"/>
  <c r="H426" i="8"/>
  <c r="H425" i="8"/>
  <c r="H424" i="8"/>
  <c r="H423" i="8"/>
  <c r="H422" i="8"/>
  <c r="H421" i="8"/>
  <c r="H420" i="8"/>
  <c r="H419" i="8"/>
  <c r="H418" i="8"/>
  <c r="H417" i="8"/>
  <c r="H416" i="8"/>
  <c r="H415" i="8"/>
  <c r="H414" i="8"/>
  <c r="H413" i="8"/>
  <c r="H412" i="8"/>
  <c r="H411" i="8"/>
  <c r="H410" i="8"/>
  <c r="H409" i="8"/>
  <c r="H408" i="8"/>
  <c r="H407" i="8"/>
  <c r="H406" i="8"/>
  <c r="H405" i="8"/>
  <c r="H404" i="8"/>
  <c r="H403" i="8"/>
  <c r="H402" i="8"/>
  <c r="H401" i="8"/>
  <c r="H400" i="8"/>
  <c r="H399" i="8"/>
  <c r="H398" i="8"/>
  <c r="H397" i="8"/>
  <c r="H396" i="8"/>
  <c r="H395" i="8"/>
  <c r="H394" i="8"/>
  <c r="H393" i="8"/>
  <c r="H392" i="8"/>
  <c r="H391" i="8"/>
  <c r="H390" i="8"/>
  <c r="H389" i="8"/>
  <c r="H388" i="8"/>
  <c r="H387" i="8"/>
  <c r="H386" i="8"/>
  <c r="H385" i="8"/>
  <c r="H384" i="8"/>
  <c r="H383" i="8"/>
  <c r="H382" i="8"/>
  <c r="H381" i="8"/>
  <c r="H380" i="8"/>
  <c r="H379" i="8"/>
  <c r="H378" i="8"/>
  <c r="H377" i="8"/>
  <c r="H376" i="8"/>
  <c r="H375" i="8"/>
  <c r="H374" i="8"/>
  <c r="H373" i="8"/>
  <c r="H372" i="8"/>
  <c r="H371" i="8"/>
  <c r="H370" i="8"/>
  <c r="H369" i="8"/>
  <c r="H368" i="8"/>
  <c r="H367" i="8"/>
  <c r="H366" i="8"/>
  <c r="H365" i="8"/>
  <c r="H364" i="8"/>
  <c r="H363" i="8"/>
  <c r="H362" i="8"/>
  <c r="H361" i="8"/>
  <c r="H360" i="8"/>
  <c r="H359" i="8"/>
  <c r="H358" i="8"/>
  <c r="H357" i="8"/>
  <c r="H356" i="8"/>
  <c r="H355" i="8"/>
  <c r="H354" i="8"/>
  <c r="H353" i="8"/>
  <c r="H352" i="8"/>
  <c r="H351" i="8"/>
  <c r="H350" i="8"/>
  <c r="H349" i="8"/>
  <c r="H348" i="8"/>
  <c r="H347" i="8"/>
  <c r="H346" i="8"/>
  <c r="H345" i="8"/>
  <c r="H344" i="8"/>
  <c r="H343" i="8"/>
  <c r="H342" i="8"/>
  <c r="H341" i="8"/>
  <c r="H340" i="8"/>
  <c r="H339" i="8"/>
  <c r="H338" i="8"/>
  <c r="H337" i="8"/>
  <c r="H336" i="8"/>
  <c r="H335" i="8"/>
  <c r="H334" i="8"/>
  <c r="H333" i="8"/>
  <c r="H332" i="8"/>
  <c r="H331" i="8"/>
  <c r="H330" i="8"/>
  <c r="H329" i="8"/>
  <c r="H328" i="8"/>
  <c r="H327" i="8"/>
  <c r="H326" i="8"/>
  <c r="H325" i="8"/>
  <c r="H324" i="8"/>
  <c r="H323" i="8"/>
  <c r="H322" i="8"/>
  <c r="H321" i="8"/>
  <c r="H320" i="8"/>
  <c r="H319" i="8"/>
  <c r="H318" i="8"/>
  <c r="H317" i="8"/>
  <c r="H316" i="8"/>
  <c r="H315" i="8"/>
  <c r="H314" i="8"/>
  <c r="H313" i="8"/>
  <c r="H312" i="8"/>
  <c r="H311" i="8"/>
  <c r="H310" i="8"/>
  <c r="H309" i="8"/>
  <c r="H308" i="8"/>
  <c r="H307" i="8"/>
  <c r="H306" i="8"/>
  <c r="H305" i="8"/>
  <c r="H304" i="8"/>
  <c r="H303" i="8"/>
  <c r="H302" i="8"/>
  <c r="H301" i="8"/>
  <c r="H300" i="8"/>
  <c r="H299" i="8"/>
  <c r="H298" i="8"/>
  <c r="H297" i="8"/>
  <c r="H296" i="8"/>
  <c r="H295" i="8"/>
  <c r="H294" i="8"/>
  <c r="H293" i="8"/>
  <c r="H292" i="8"/>
  <c r="H291" i="8"/>
  <c r="H290" i="8"/>
  <c r="H289" i="8"/>
  <c r="H288" i="8"/>
  <c r="H287" i="8"/>
  <c r="H286" i="8"/>
  <c r="H285" i="8"/>
  <c r="H284" i="8"/>
  <c r="H283" i="8"/>
  <c r="H282" i="8"/>
  <c r="H281" i="8"/>
  <c r="H280" i="8"/>
  <c r="H279" i="8"/>
  <c r="H278" i="8"/>
  <c r="H277" i="8"/>
  <c r="H276" i="8"/>
  <c r="H275" i="8"/>
  <c r="H274" i="8"/>
  <c r="H273" i="8"/>
  <c r="H272" i="8"/>
  <c r="H271" i="8"/>
  <c r="H270" i="8"/>
  <c r="H269" i="8"/>
  <c r="H268" i="8"/>
  <c r="H267" i="8"/>
  <c r="H266" i="8"/>
  <c r="H265" i="8"/>
  <c r="H264" i="8"/>
  <c r="H263" i="8"/>
  <c r="H262" i="8"/>
  <c r="H261" i="8"/>
  <c r="H260" i="8"/>
  <c r="H259" i="8"/>
  <c r="H258" i="8"/>
  <c r="H257" i="8"/>
  <c r="H256" i="8"/>
  <c r="H255" i="8"/>
  <c r="H254" i="8"/>
  <c r="H253" i="8"/>
  <c r="H252" i="8"/>
  <c r="H251" i="8"/>
  <c r="H250" i="8"/>
  <c r="H249" i="8"/>
  <c r="H248" i="8"/>
  <c r="H247" i="8"/>
  <c r="H246" i="8"/>
  <c r="H245" i="8"/>
  <c r="H244" i="8"/>
  <c r="H243" i="8"/>
  <c r="H242" i="8"/>
  <c r="H241" i="8"/>
  <c r="H240" i="8"/>
  <c r="H239" i="8"/>
  <c r="H238" i="8"/>
  <c r="H237" i="8"/>
  <c r="H236" i="8"/>
  <c r="H235" i="8"/>
  <c r="H234" i="8"/>
  <c r="H233" i="8"/>
  <c r="H232" i="8"/>
  <c r="H231" i="8"/>
  <c r="H230" i="8"/>
  <c r="H229" i="8"/>
  <c r="H228" i="8"/>
  <c r="H227" i="8"/>
  <c r="H226" i="8"/>
  <c r="H225" i="8"/>
  <c r="H224" i="8"/>
  <c r="H223" i="8"/>
  <c r="H222" i="8"/>
  <c r="H221" i="8"/>
  <c r="H220" i="8"/>
  <c r="H219" i="8"/>
  <c r="H218" i="8"/>
  <c r="H217" i="8"/>
  <c r="H216" i="8"/>
  <c r="H215" i="8"/>
  <c r="H214" i="8"/>
  <c r="H213" i="8"/>
  <c r="H212" i="8"/>
  <c r="H211" i="8"/>
  <c r="H210" i="8"/>
  <c r="H209" i="8"/>
  <c r="H208" i="8"/>
  <c r="H207" i="8"/>
  <c r="H206" i="8"/>
  <c r="H205" i="8"/>
  <c r="H204" i="8"/>
  <c r="H203" i="8"/>
  <c r="H202" i="8"/>
  <c r="H201" i="8"/>
  <c r="H200" i="8"/>
  <c r="H199" i="8"/>
  <c r="H198" i="8"/>
  <c r="H197" i="8"/>
  <c r="H196" i="8"/>
  <c r="H195" i="8"/>
  <c r="H194" i="8"/>
  <c r="H193" i="8"/>
  <c r="H192" i="8"/>
  <c r="H191" i="8"/>
  <c r="H190" i="8"/>
  <c r="H189" i="8"/>
  <c r="H188" i="8"/>
  <c r="H187" i="8"/>
  <c r="H186" i="8"/>
  <c r="H185" i="8"/>
  <c r="H184" i="8"/>
  <c r="H183" i="8"/>
  <c r="H182" i="8"/>
  <c r="H181" i="8"/>
  <c r="H180" i="8"/>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H2" i="8"/>
  <c r="E342" i="8"/>
  <c r="E317" i="8"/>
  <c r="E300" i="8"/>
  <c r="E296" i="8"/>
  <c r="E279" i="8"/>
  <c r="E266" i="8"/>
  <c r="E260" i="8"/>
  <c r="E248" i="8"/>
  <c r="E247" i="8"/>
  <c r="E246" i="8"/>
  <c r="E238" i="8"/>
  <c r="E237" i="8"/>
  <c r="E228" i="8"/>
  <c r="E226" i="8"/>
  <c r="E221" i="8"/>
  <c r="E220" i="8"/>
  <c r="E215" i="8"/>
  <c r="E214" i="8"/>
  <c r="E210" i="8"/>
  <c r="E190" i="8"/>
  <c r="E189" i="8"/>
  <c r="E184" i="8"/>
  <c r="E178" i="8"/>
  <c r="E172" i="8"/>
  <c r="E168" i="8"/>
  <c r="E164" i="8"/>
  <c r="E155" i="8"/>
  <c r="E149" i="8"/>
  <c r="E144" i="8"/>
  <c r="E143" i="8"/>
  <c r="E138" i="8"/>
  <c r="E134" i="8"/>
  <c r="E664" i="8"/>
  <c r="E663" i="8"/>
  <c r="E662" i="8"/>
  <c r="E411" i="8"/>
  <c r="E361" i="8"/>
  <c r="E352" i="8"/>
  <c r="E288" i="8"/>
  <c r="E285" i="8"/>
  <c r="E278" i="8"/>
  <c r="E273" i="8"/>
  <c r="E270" i="8"/>
  <c r="E269" i="8"/>
  <c r="E259" i="8"/>
  <c r="E251" i="8"/>
  <c r="E250" i="8"/>
  <c r="E245" i="8"/>
  <c r="E235" i="8"/>
  <c r="E234" i="8"/>
  <c r="E232" i="8"/>
  <c r="E229" i="8"/>
  <c r="E227" i="8"/>
  <c r="E224" i="8"/>
  <c r="E223" i="8"/>
  <c r="E218" i="8"/>
  <c r="E209" i="8"/>
  <c r="E204" i="8"/>
  <c r="E201" i="8"/>
  <c r="E197" i="8"/>
  <c r="E195" i="8"/>
  <c r="E191" i="8"/>
  <c r="E179" i="8"/>
  <c r="E177" i="8"/>
  <c r="E173" i="8"/>
  <c r="E166" i="8"/>
  <c r="E163" i="8"/>
  <c r="E161" i="8"/>
  <c r="E159" i="8"/>
  <c r="E142" i="8"/>
  <c r="E659" i="8"/>
  <c r="E658" i="8"/>
  <c r="E657" i="8"/>
  <c r="E656" i="8"/>
  <c r="E655" i="8"/>
  <c r="E654" i="8"/>
  <c r="E653" i="8"/>
  <c r="E652" i="8"/>
  <c r="E651" i="8"/>
  <c r="E650" i="8"/>
  <c r="E649" i="8"/>
  <c r="E648" i="8"/>
  <c r="E647" i="8"/>
  <c r="E646" i="8"/>
  <c r="E645" i="8"/>
  <c r="E644" i="8"/>
  <c r="E643" i="8"/>
  <c r="E642" i="8"/>
  <c r="E641" i="8"/>
  <c r="E640" i="8"/>
  <c r="E639" i="8"/>
  <c r="E638" i="8"/>
  <c r="E637" i="8"/>
  <c r="E636" i="8"/>
  <c r="E635" i="8"/>
  <c r="E595" i="8"/>
  <c r="E594" i="8"/>
  <c r="E593" i="8"/>
  <c r="E592" i="8"/>
  <c r="E591" i="8"/>
  <c r="E590" i="8"/>
  <c r="E582" i="8"/>
  <c r="E581" i="8"/>
  <c r="E574" i="8"/>
  <c r="E570" i="8"/>
  <c r="E566" i="8"/>
  <c r="E561" i="8"/>
  <c r="E558" i="8"/>
  <c r="E557" i="8"/>
  <c r="E556" i="8"/>
  <c r="E554" i="8"/>
  <c r="E553" i="8"/>
  <c r="E549" i="8"/>
  <c r="E547" i="8"/>
  <c r="E545" i="8"/>
  <c r="E540" i="8"/>
  <c r="E522" i="8"/>
  <c r="E516" i="8"/>
  <c r="E511" i="8"/>
  <c r="E503" i="8"/>
  <c r="E501" i="8"/>
  <c r="E493" i="8"/>
  <c r="E487" i="8"/>
  <c r="E484" i="8"/>
  <c r="E480" i="8"/>
  <c r="E470" i="8"/>
  <c r="E424" i="8"/>
  <c r="E402" i="8"/>
  <c r="E386" i="8"/>
  <c r="E375" i="8"/>
  <c r="E373" i="8"/>
  <c r="E363" i="8"/>
  <c r="E358" i="8"/>
  <c r="E357" i="8"/>
  <c r="E355" i="8"/>
  <c r="E349" i="8"/>
  <c r="E348" i="8"/>
  <c r="E344" i="8"/>
  <c r="E341" i="8"/>
  <c r="E340" i="8"/>
  <c r="E337" i="8"/>
  <c r="E336" i="8"/>
  <c r="E334" i="8"/>
  <c r="E331" i="8"/>
  <c r="E330" i="8"/>
  <c r="E328" i="8"/>
  <c r="E327" i="8"/>
  <c r="E326" i="8"/>
  <c r="E324" i="8"/>
  <c r="E322" i="8"/>
  <c r="E319" i="8"/>
  <c r="E316" i="8"/>
  <c r="E314" i="8"/>
  <c r="E309" i="8"/>
  <c r="E306" i="8"/>
  <c r="E303" i="8"/>
  <c r="E302" i="8"/>
  <c r="E295" i="8"/>
  <c r="E294" i="8"/>
  <c r="E292" i="8"/>
  <c r="E290" i="8"/>
  <c r="E286" i="8"/>
  <c r="E281" i="8"/>
  <c r="E276" i="8"/>
  <c r="E272" i="8"/>
  <c r="E261" i="8"/>
  <c r="E255" i="8"/>
  <c r="E244" i="8"/>
  <c r="E241" i="8"/>
  <c r="E239" i="8"/>
  <c r="E230" i="8"/>
  <c r="E213" i="8"/>
  <c r="E211" i="8"/>
  <c r="E203" i="8"/>
  <c r="E200" i="8"/>
  <c r="E199" i="8"/>
  <c r="E188" i="8"/>
  <c r="E182" i="8"/>
  <c r="E152" i="8"/>
  <c r="E151" i="8"/>
  <c r="E145" i="8"/>
  <c r="E133" i="8"/>
  <c r="E131" i="8"/>
  <c r="E125" i="8"/>
  <c r="E122" i="8"/>
  <c r="E114" i="8"/>
  <c r="E112" i="8"/>
  <c r="E110" i="8"/>
  <c r="E108" i="8"/>
  <c r="E104" i="8"/>
  <c r="E101" i="8"/>
  <c r="E88" i="8"/>
  <c r="E80" i="8"/>
  <c r="E72" i="8"/>
  <c r="E60" i="8"/>
  <c r="E59" i="8"/>
  <c r="E45" i="8"/>
  <c r="E34" i="8"/>
  <c r="E22" i="8"/>
  <c r="E8" i="8"/>
  <c r="E634" i="8"/>
  <c r="E633" i="8"/>
  <c r="E632" i="8"/>
  <c r="E631" i="8"/>
  <c r="E630" i="8"/>
  <c r="E629" i="8"/>
  <c r="E628" i="8"/>
  <c r="E627" i="8"/>
  <c r="E626" i="8"/>
  <c r="E625" i="8"/>
  <c r="E624" i="8"/>
  <c r="E623" i="8"/>
  <c r="E622" i="8"/>
  <c r="E621" i="8"/>
  <c r="E620" i="8"/>
  <c r="E619" i="8"/>
  <c r="E618" i="8"/>
  <c r="E617" i="8"/>
  <c r="E616" i="8"/>
  <c r="E615" i="8"/>
  <c r="E614" i="8"/>
  <c r="E613" i="8"/>
  <c r="E612" i="8"/>
  <c r="E611" i="8"/>
  <c r="E610" i="8"/>
  <c r="E589" i="8"/>
  <c r="E588" i="8"/>
  <c r="E585" i="8"/>
  <c r="E579" i="8"/>
  <c r="E577" i="8"/>
  <c r="E573" i="8"/>
  <c r="E572" i="8"/>
  <c r="E568" i="8"/>
  <c r="E565" i="8"/>
  <c r="E564" i="8"/>
  <c r="E563" i="8"/>
  <c r="E559" i="8"/>
  <c r="E555" i="8"/>
  <c r="E552" i="8"/>
  <c r="E548" i="8"/>
  <c r="E546" i="8"/>
  <c r="E544" i="8"/>
  <c r="E542" i="8"/>
  <c r="E539" i="8"/>
  <c r="E537" i="8"/>
  <c r="E532" i="8"/>
  <c r="E528" i="8"/>
  <c r="E526" i="8"/>
  <c r="E519" i="8"/>
  <c r="E515" i="8"/>
  <c r="E513" i="8"/>
  <c r="E512" i="8"/>
  <c r="E510" i="8"/>
  <c r="E509" i="8"/>
  <c r="E508" i="8"/>
  <c r="E505" i="8"/>
  <c r="E504" i="8"/>
  <c r="E502" i="8"/>
  <c r="E500" i="8"/>
  <c r="E499" i="8"/>
  <c r="E496" i="8"/>
  <c r="E495" i="8"/>
  <c r="E491" i="8"/>
  <c r="E486" i="8"/>
  <c r="E485" i="8"/>
  <c r="E483" i="8"/>
  <c r="E482" i="8"/>
  <c r="E481" i="8"/>
  <c r="E479" i="8"/>
  <c r="E478" i="8"/>
  <c r="E476" i="8"/>
  <c r="E475" i="8"/>
  <c r="E474" i="8"/>
  <c r="E473" i="8"/>
  <c r="E472" i="8"/>
  <c r="E468" i="8"/>
  <c r="E466" i="8"/>
  <c r="E465" i="8"/>
  <c r="E464" i="8"/>
  <c r="E463" i="8"/>
  <c r="E462" i="8"/>
  <c r="E460" i="8"/>
  <c r="E459" i="8"/>
  <c r="E458" i="8"/>
  <c r="E456" i="8"/>
  <c r="E452" i="8"/>
  <c r="E451" i="8"/>
  <c r="E445" i="8"/>
  <c r="E444" i="8"/>
  <c r="E443" i="8"/>
  <c r="E441" i="8"/>
  <c r="E440" i="8"/>
  <c r="E439" i="8"/>
  <c r="E437" i="8"/>
  <c r="E436" i="8"/>
  <c r="E435" i="8"/>
  <c r="E433" i="8"/>
  <c r="E432" i="8"/>
  <c r="E431" i="8"/>
  <c r="E429" i="8"/>
  <c r="E428" i="8"/>
  <c r="E422" i="8"/>
  <c r="E421" i="8"/>
  <c r="E418" i="8"/>
  <c r="E414" i="8"/>
  <c r="E410" i="8"/>
  <c r="E408" i="8"/>
  <c r="E407" i="8"/>
  <c r="E404" i="8"/>
  <c r="E403" i="8"/>
  <c r="E399" i="8"/>
  <c r="E395" i="8"/>
  <c r="E393" i="8"/>
  <c r="E392" i="8"/>
  <c r="E389" i="8"/>
  <c r="E387" i="8"/>
  <c r="E385" i="8"/>
  <c r="E384" i="8"/>
  <c r="E382" i="8"/>
  <c r="E381" i="8"/>
  <c r="E380" i="8"/>
  <c r="E379" i="8"/>
  <c r="E378" i="8"/>
  <c r="E374" i="8"/>
  <c r="E372" i="8"/>
  <c r="E368" i="8"/>
  <c r="E367" i="8"/>
  <c r="E365" i="8"/>
  <c r="E362" i="8"/>
  <c r="E360" i="8"/>
  <c r="E359" i="8"/>
  <c r="E353" i="8"/>
  <c r="E351" i="8"/>
  <c r="E345" i="8"/>
  <c r="E343" i="8"/>
  <c r="E339" i="8"/>
  <c r="E332" i="8"/>
  <c r="E325" i="8"/>
  <c r="E323" i="8"/>
  <c r="E321" i="8"/>
  <c r="E320" i="8"/>
  <c r="E315" i="8"/>
  <c r="E307" i="8"/>
  <c r="E305" i="8"/>
  <c r="E301" i="8"/>
  <c r="E298" i="8"/>
  <c r="E297" i="8"/>
  <c r="E289" i="8"/>
  <c r="E287" i="8"/>
  <c r="E283" i="8"/>
  <c r="E282" i="8"/>
  <c r="E275" i="8"/>
  <c r="E274" i="8"/>
  <c r="E271" i="8"/>
  <c r="E264" i="8"/>
  <c r="E256" i="8"/>
  <c r="E252" i="8"/>
  <c r="E249" i="8"/>
  <c r="E243" i="8"/>
  <c r="E240" i="8"/>
  <c r="E236" i="8"/>
  <c r="E225" i="8"/>
  <c r="E222" i="8"/>
  <c r="E207" i="8"/>
  <c r="E206" i="8"/>
  <c r="E205" i="8"/>
  <c r="E202" i="8"/>
  <c r="E198" i="8"/>
  <c r="E187" i="8"/>
  <c r="E185" i="8"/>
  <c r="E181" i="8"/>
  <c r="E176" i="8"/>
  <c r="E175" i="8"/>
  <c r="E174" i="8"/>
  <c r="E170" i="8"/>
  <c r="E169" i="8"/>
  <c r="E162" i="8"/>
  <c r="E156" i="8"/>
  <c r="E154" i="8"/>
  <c r="E148" i="8"/>
  <c r="E141" i="8"/>
  <c r="E139" i="8"/>
  <c r="E135" i="8"/>
  <c r="E130" i="8"/>
  <c r="E128" i="8"/>
  <c r="E127" i="8"/>
  <c r="E124" i="8"/>
  <c r="E119" i="8"/>
  <c r="E118" i="8"/>
  <c r="E117" i="8"/>
  <c r="E116" i="8"/>
  <c r="E111" i="8"/>
  <c r="E109" i="8"/>
  <c r="E107" i="8"/>
  <c r="E105" i="8"/>
  <c r="E102" i="8"/>
  <c r="E100" i="8"/>
  <c r="E97" i="8"/>
  <c r="E95" i="8"/>
  <c r="E94" i="8"/>
  <c r="E92" i="8"/>
  <c r="E87" i="8"/>
  <c r="E85" i="8"/>
  <c r="E84" i="8"/>
  <c r="E79" i="8"/>
  <c r="E75" i="8"/>
  <c r="E73" i="8"/>
  <c r="E71" i="8"/>
  <c r="E69" i="8"/>
  <c r="E68" i="8"/>
  <c r="E67" i="8"/>
  <c r="E65" i="8"/>
  <c r="E58" i="8"/>
  <c r="E57" i="8"/>
  <c r="E54" i="8"/>
  <c r="E47" i="8"/>
  <c r="E46" i="8"/>
  <c r="E44" i="8"/>
  <c r="E43" i="8"/>
  <c r="E41" i="8"/>
  <c r="E40" i="8"/>
  <c r="E39" i="8"/>
  <c r="E37" i="8"/>
  <c r="E35" i="8"/>
  <c r="E33" i="8"/>
  <c r="E32" i="8"/>
  <c r="E29" i="8"/>
  <c r="E27" i="8"/>
  <c r="E26" i="8"/>
  <c r="E25" i="8"/>
  <c r="E24" i="8"/>
  <c r="E21" i="8"/>
  <c r="E18" i="8"/>
  <c r="E17" i="8"/>
  <c r="E15" i="8"/>
  <c r="E14" i="8"/>
  <c r="E13" i="8"/>
  <c r="E12" i="8"/>
  <c r="E10" i="8"/>
  <c r="E9" i="8"/>
  <c r="E6" i="8"/>
  <c r="E5" i="8"/>
  <c r="E4" i="8"/>
  <c r="E3" i="8"/>
  <c r="E2" i="8"/>
  <c r="E660" i="8"/>
  <c r="E609" i="8"/>
  <c r="E608" i="8"/>
  <c r="E607" i="8"/>
  <c r="E606" i="8"/>
  <c r="E605" i="8"/>
  <c r="E604" i="8"/>
  <c r="E603" i="8"/>
  <c r="E602" i="8"/>
  <c r="E601" i="8"/>
  <c r="E600" i="8"/>
  <c r="E599" i="8"/>
  <c r="E598" i="8"/>
  <c r="E597" i="8"/>
  <c r="E596" i="8"/>
  <c r="E587" i="8"/>
  <c r="E586" i="8"/>
  <c r="E584" i="8"/>
  <c r="E583" i="8"/>
  <c r="E580" i="8"/>
  <c r="E578" i="8"/>
  <c r="E576" i="8"/>
  <c r="E575" i="8"/>
  <c r="E571" i="8"/>
  <c r="E569" i="8"/>
  <c r="E567" i="8"/>
  <c r="E562" i="8"/>
  <c r="E560" i="8"/>
  <c r="E551" i="8"/>
  <c r="E550" i="8"/>
  <c r="E543" i="8"/>
  <c r="E541" i="8"/>
  <c r="E538" i="8"/>
  <c r="E536" i="8"/>
  <c r="E535" i="8"/>
  <c r="E534" i="8"/>
  <c r="E533" i="8"/>
  <c r="E531" i="8"/>
  <c r="E530" i="8"/>
  <c r="E529" i="8"/>
  <c r="E527" i="8"/>
  <c r="E525" i="8"/>
  <c r="E524" i="8"/>
  <c r="E523" i="8"/>
  <c r="E521" i="8"/>
  <c r="E520" i="8"/>
  <c r="E518" i="8"/>
  <c r="E517" i="8"/>
  <c r="E514" i="8"/>
  <c r="E507" i="8"/>
  <c r="E506" i="8"/>
  <c r="E498" i="8"/>
  <c r="E497" i="8"/>
  <c r="E494" i="8"/>
  <c r="E492" i="8"/>
  <c r="E490" i="8"/>
  <c r="E489" i="8"/>
  <c r="E488" i="8"/>
  <c r="E477" i="8"/>
  <c r="E471" i="8"/>
  <c r="E469" i="8"/>
  <c r="E467" i="8"/>
  <c r="E461" i="8"/>
  <c r="E457" i="8"/>
  <c r="E455" i="8"/>
  <c r="E454" i="8"/>
  <c r="E453" i="8"/>
  <c r="E450" i="8"/>
  <c r="E449" i="8"/>
  <c r="E448" i="8"/>
  <c r="E447" i="8"/>
  <c r="E446" i="8"/>
  <c r="E442" i="8"/>
  <c r="E438" i="8"/>
  <c r="E434" i="8"/>
  <c r="E430" i="8"/>
  <c r="E427" i="8"/>
  <c r="E426" i="8"/>
  <c r="E425" i="8"/>
  <c r="E423" i="8"/>
  <c r="E420" i="8"/>
  <c r="E419" i="8"/>
  <c r="E417" i="8"/>
  <c r="E416" i="8"/>
  <c r="E415" i="8"/>
  <c r="E413" i="8"/>
  <c r="E412" i="8"/>
  <c r="E409" i="8"/>
  <c r="E406" i="8"/>
  <c r="E405" i="8"/>
  <c r="E401" i="8"/>
  <c r="E400" i="8"/>
  <c r="E398" i="8"/>
  <c r="E397" i="8"/>
  <c r="E396" i="8"/>
  <c r="E394" i="8"/>
  <c r="E391" i="8"/>
  <c r="E390" i="8"/>
  <c r="E383" i="8"/>
  <c r="E377" i="8"/>
  <c r="E376" i="8"/>
  <c r="E370" i="8"/>
  <c r="E369" i="8"/>
  <c r="E366" i="8"/>
  <c r="E364" i="8"/>
  <c r="E356" i="8"/>
  <c r="E354" i="8"/>
  <c r="E350" i="8"/>
  <c r="E347" i="8"/>
  <c r="E346" i="8"/>
  <c r="E338" i="8"/>
  <c r="E335" i="8"/>
  <c r="E333" i="8"/>
  <c r="E329" i="8"/>
  <c r="E318" i="8"/>
  <c r="E313" i="8"/>
  <c r="E312" i="8"/>
  <c r="E311" i="8"/>
  <c r="E310" i="8"/>
  <c r="E304" i="8"/>
  <c r="E293" i="8"/>
  <c r="E291" i="8"/>
  <c r="E284" i="8"/>
  <c r="E280" i="8"/>
  <c r="E277" i="8"/>
  <c r="E268" i="8"/>
  <c r="E267" i="8"/>
  <c r="E265" i="8"/>
  <c r="E263" i="8"/>
  <c r="E262" i="8"/>
  <c r="E258" i="8"/>
  <c r="E254" i="8"/>
  <c r="E253" i="8"/>
  <c r="E242" i="8"/>
  <c r="E231" i="8"/>
  <c r="E219" i="8"/>
  <c r="E216" i="8"/>
  <c r="E194" i="8"/>
  <c r="E192" i="8"/>
  <c r="E183" i="8"/>
  <c r="E180" i="8"/>
  <c r="E171" i="8"/>
  <c r="E160" i="8"/>
  <c r="E157" i="8"/>
  <c r="E147" i="8"/>
  <c r="E140" i="8"/>
  <c r="E137" i="8"/>
  <c r="E132" i="8"/>
  <c r="E126" i="8"/>
  <c r="E115" i="8"/>
  <c r="E113" i="8"/>
  <c r="E106" i="8"/>
  <c r="E103" i="8"/>
  <c r="E99" i="8"/>
  <c r="E98" i="8"/>
  <c r="E96" i="8"/>
  <c r="E89" i="8"/>
  <c r="E86" i="8"/>
  <c r="E83" i="8"/>
  <c r="E82" i="8"/>
  <c r="E81" i="8"/>
  <c r="E76" i="8"/>
  <c r="E74" i="8"/>
  <c r="E70" i="8"/>
  <c r="E66" i="8"/>
  <c r="E64" i="8"/>
  <c r="E63" i="8"/>
  <c r="E62" i="8"/>
  <c r="E61" i="8"/>
  <c r="E56" i="8"/>
  <c r="E55" i="8"/>
  <c r="E53" i="8"/>
  <c r="E52" i="8"/>
  <c r="E51" i="8"/>
  <c r="E50" i="8"/>
  <c r="E49" i="8"/>
  <c r="E48" i="8"/>
  <c r="E42" i="8"/>
  <c r="E38" i="8"/>
  <c r="E36" i="8"/>
  <c r="E31" i="8"/>
  <c r="E30" i="8"/>
  <c r="E28" i="8"/>
  <c r="E23" i="8"/>
  <c r="E20" i="8"/>
  <c r="E19" i="8"/>
  <c r="E16" i="8"/>
  <c r="E11" i="8"/>
  <c r="E7" i="8"/>
  <c r="E738" i="8"/>
  <c r="E737" i="8"/>
  <c r="E736" i="8"/>
  <c r="E735" i="8"/>
  <c r="E734" i="8"/>
  <c r="E733" i="8"/>
  <c r="E732" i="8"/>
  <c r="E731" i="8"/>
  <c r="E730" i="8"/>
  <c r="E729" i="8"/>
  <c r="E728" i="8"/>
  <c r="E727" i="8"/>
  <c r="E726" i="8"/>
  <c r="E725" i="8"/>
  <c r="E724" i="8"/>
  <c r="E723" i="8"/>
  <c r="E722" i="8"/>
  <c r="E721" i="8"/>
  <c r="E720" i="8"/>
  <c r="E719" i="8"/>
  <c r="E718" i="8"/>
  <c r="E717" i="8"/>
  <c r="E716" i="8"/>
  <c r="E715" i="8"/>
  <c r="E714" i="8"/>
  <c r="E713" i="8"/>
  <c r="E712" i="8"/>
  <c r="E711" i="8"/>
  <c r="E710" i="8"/>
  <c r="E709" i="8"/>
  <c r="E708" i="8"/>
  <c r="E707" i="8"/>
  <c r="E706" i="8"/>
  <c r="E705" i="8"/>
  <c r="E704" i="8"/>
  <c r="E703" i="8"/>
  <c r="E702" i="8"/>
  <c r="E701" i="8"/>
  <c r="E700" i="8"/>
  <c r="E699" i="8"/>
  <c r="E698" i="8"/>
  <c r="E697" i="8"/>
  <c r="E696" i="8"/>
  <c r="E695" i="8"/>
  <c r="E694" i="8"/>
  <c r="E693" i="8"/>
  <c r="E692" i="8"/>
  <c r="E691" i="8"/>
  <c r="E690" i="8"/>
  <c r="E689" i="8"/>
  <c r="E688" i="8"/>
  <c r="E687" i="8"/>
  <c r="E686" i="8"/>
  <c r="E685" i="8"/>
  <c r="E684" i="8"/>
  <c r="E683" i="8"/>
  <c r="E682" i="8"/>
  <c r="E681" i="8"/>
  <c r="E680" i="8"/>
  <c r="E679" i="8"/>
  <c r="E678" i="8"/>
  <c r="E677" i="8"/>
  <c r="E676" i="8"/>
  <c r="E675" i="8"/>
  <c r="E674" i="8"/>
  <c r="E673" i="8"/>
  <c r="E672" i="8"/>
  <c r="E671" i="8"/>
  <c r="E670" i="8"/>
  <c r="E669" i="8"/>
  <c r="E668" i="8"/>
  <c r="E667" i="8"/>
  <c r="E666" i="8"/>
  <c r="E665" i="8"/>
  <c r="E661" i="8"/>
  <c r="E388" i="8"/>
  <c r="E371" i="8"/>
  <c r="E308" i="8"/>
  <c r="E299" i="8"/>
  <c r="E257" i="8"/>
  <c r="E233" i="8"/>
  <c r="E217" i="8"/>
  <c r="E212" i="8"/>
  <c r="E208" i="8"/>
  <c r="E196" i="8"/>
  <c r="E193" i="8"/>
  <c r="E186" i="8"/>
  <c r="E167" i="8"/>
  <c r="E165" i="8"/>
  <c r="E158" i="8"/>
  <c r="E153" i="8"/>
  <c r="E150" i="8"/>
  <c r="E146" i="8"/>
  <c r="E136" i="8"/>
  <c r="E129" i="8"/>
  <c r="E123" i="8"/>
  <c r="E121" i="8"/>
  <c r="E120" i="8"/>
  <c r="E93" i="8"/>
  <c r="E91" i="8"/>
  <c r="E90" i="8"/>
  <c r="E78" i="8"/>
  <c r="E77" i="8"/>
  <c r="S33" i="7"/>
  <c r="S32" i="7"/>
  <c r="S31" i="7"/>
  <c r="S30" i="7"/>
  <c r="S29" i="7"/>
  <c r="S28" i="7"/>
  <c r="S27" i="7"/>
  <c r="S26" i="7"/>
  <c r="S25" i="7"/>
  <c r="S24" i="7"/>
  <c r="S23" i="7"/>
  <c r="S22" i="7"/>
  <c r="S21" i="7"/>
  <c r="S20" i="7"/>
  <c r="S19" i="7"/>
  <c r="S18" i="7"/>
  <c r="S17" i="7"/>
  <c r="S16" i="7"/>
  <c r="S15" i="7"/>
  <c r="S14" i="7"/>
  <c r="S13" i="7"/>
  <c r="S12" i="7"/>
  <c r="S11" i="7"/>
  <c r="S10" i="7"/>
  <c r="S9" i="7"/>
  <c r="S8" i="7"/>
  <c r="S7" i="7"/>
  <c r="S6" i="7"/>
  <c r="S5" i="7"/>
  <c r="S4" i="7"/>
  <c r="S3" i="7"/>
  <c r="S2" i="7"/>
  <c r="P39" i="6"/>
  <c r="P38" i="6"/>
  <c r="P37" i="6"/>
  <c r="P36" i="6"/>
  <c r="P35" i="6"/>
  <c r="P34" i="6"/>
  <c r="P33" i="6"/>
  <c r="P32" i="6"/>
  <c r="P31" i="6"/>
  <c r="P30" i="6"/>
  <c r="P29" i="6"/>
  <c r="P28" i="6"/>
  <c r="P27" i="6"/>
  <c r="P26" i="6"/>
  <c r="P25" i="6"/>
  <c r="P24" i="6"/>
  <c r="P23" i="6"/>
  <c r="P22" i="6"/>
  <c r="P21" i="6"/>
  <c r="P20" i="6"/>
  <c r="P19" i="6"/>
  <c r="P18" i="6"/>
  <c r="P17" i="6"/>
  <c r="P16" i="6"/>
  <c r="P15" i="6"/>
  <c r="P14" i="6"/>
  <c r="P13" i="6"/>
  <c r="P12" i="6"/>
  <c r="P11" i="6"/>
  <c r="P10" i="6"/>
  <c r="P9" i="6"/>
  <c r="P8" i="6"/>
  <c r="P7" i="6"/>
  <c r="P6" i="6"/>
  <c r="P5" i="6"/>
  <c r="P4" i="6"/>
  <c r="P3" i="6"/>
  <c r="P2" i="6"/>
  <c r="W131" i="5"/>
  <c r="W130" i="5"/>
  <c r="W129" i="5"/>
  <c r="W128" i="5"/>
  <c r="W127" i="5"/>
  <c r="W126" i="5"/>
  <c r="W125" i="5"/>
  <c r="W124" i="5"/>
  <c r="W123" i="5"/>
  <c r="W122" i="5"/>
  <c r="W121" i="5"/>
  <c r="W120" i="5"/>
  <c r="W119" i="5"/>
  <c r="W118" i="5"/>
  <c r="W117" i="5"/>
  <c r="W116" i="5"/>
  <c r="W115" i="5"/>
  <c r="W114" i="5"/>
  <c r="W113" i="5"/>
  <c r="W112" i="5"/>
  <c r="W111" i="5"/>
  <c r="W110" i="5"/>
  <c r="W109" i="5"/>
  <c r="W108" i="5"/>
  <c r="W107" i="5"/>
  <c r="W106" i="5"/>
  <c r="W105" i="5"/>
  <c r="W104" i="5"/>
  <c r="W103" i="5"/>
  <c r="W102" i="5"/>
  <c r="W101" i="5"/>
  <c r="W100" i="5"/>
  <c r="W99" i="5"/>
  <c r="W98" i="5"/>
  <c r="W97" i="5"/>
  <c r="W96" i="5"/>
  <c r="W95" i="5"/>
  <c r="W94" i="5"/>
  <c r="W93" i="5"/>
  <c r="W92" i="5"/>
  <c r="W91" i="5"/>
  <c r="W90" i="5"/>
  <c r="W89" i="5"/>
  <c r="W88" i="5"/>
  <c r="W87" i="5"/>
  <c r="W86" i="5"/>
  <c r="W85" i="5"/>
  <c r="W84" i="5"/>
  <c r="W83" i="5"/>
  <c r="W82" i="5"/>
  <c r="W81" i="5"/>
  <c r="W80" i="5"/>
  <c r="W79" i="5"/>
  <c r="W78" i="5"/>
  <c r="W77" i="5"/>
  <c r="W76" i="5"/>
  <c r="W75" i="5"/>
  <c r="W74" i="5"/>
  <c r="W73" i="5"/>
  <c r="W72" i="5"/>
  <c r="W71" i="5"/>
  <c r="W70" i="5"/>
  <c r="W69" i="5"/>
  <c r="W68" i="5"/>
  <c r="W67" i="5"/>
  <c r="W66" i="5"/>
  <c r="W65" i="5"/>
  <c r="W64" i="5"/>
  <c r="W63" i="5"/>
  <c r="W62" i="5"/>
  <c r="W61" i="5"/>
  <c r="W60" i="5"/>
  <c r="W59" i="5"/>
  <c r="W58" i="5"/>
  <c r="W57" i="5"/>
  <c r="W56" i="5"/>
  <c r="W55" i="5"/>
  <c r="W54" i="5"/>
  <c r="W53" i="5"/>
  <c r="W52" i="5"/>
  <c r="W51" i="5"/>
  <c r="W50" i="5"/>
  <c r="W49" i="5"/>
  <c r="W48" i="5"/>
  <c r="W47" i="5"/>
  <c r="W46" i="5"/>
  <c r="W45" i="5"/>
  <c r="W44" i="5"/>
  <c r="W43" i="5"/>
  <c r="W42" i="5"/>
  <c r="W41" i="5"/>
  <c r="W40" i="5"/>
  <c r="W39" i="5"/>
  <c r="W38" i="5"/>
  <c r="W37" i="5"/>
  <c r="W36" i="5"/>
  <c r="W35" i="5"/>
  <c r="W34" i="5"/>
  <c r="W33" i="5"/>
  <c r="W32" i="5"/>
  <c r="W31" i="5"/>
  <c r="W30" i="5"/>
  <c r="W29" i="5"/>
  <c r="W28" i="5"/>
  <c r="W27" i="5"/>
  <c r="W26" i="5"/>
  <c r="W25" i="5"/>
  <c r="W24" i="5"/>
  <c r="W23" i="5"/>
  <c r="W22" i="5"/>
  <c r="W21" i="5"/>
  <c r="W20" i="5"/>
  <c r="W19" i="5"/>
  <c r="W18" i="5"/>
  <c r="W17" i="5"/>
  <c r="W16" i="5"/>
  <c r="W15" i="5"/>
  <c r="W14" i="5"/>
  <c r="W13" i="5"/>
  <c r="W12" i="5"/>
  <c r="W11" i="5"/>
  <c r="W10" i="5"/>
  <c r="W9" i="5"/>
  <c r="W8" i="5"/>
  <c r="W7" i="5"/>
  <c r="W6" i="5"/>
  <c r="W5" i="5"/>
  <c r="W4" i="5"/>
  <c r="W3" i="5"/>
  <c r="W2" i="5"/>
  <c r="W246" i="4"/>
  <c r="W245" i="4"/>
  <c r="W244" i="4"/>
  <c r="W243" i="4"/>
  <c r="W242" i="4"/>
  <c r="W241" i="4"/>
  <c r="W240" i="4"/>
  <c r="W239" i="4"/>
  <c r="W238" i="4"/>
  <c r="W237" i="4"/>
  <c r="W236" i="4"/>
  <c r="W235" i="4"/>
  <c r="W234" i="4"/>
  <c r="W233" i="4"/>
  <c r="W232" i="4"/>
  <c r="W231" i="4"/>
  <c r="W230" i="4"/>
  <c r="W229" i="4"/>
  <c r="W228" i="4"/>
  <c r="W227" i="4"/>
  <c r="W226" i="4"/>
  <c r="W225" i="4"/>
  <c r="W224" i="4"/>
  <c r="W223" i="4"/>
  <c r="W222" i="4"/>
  <c r="W221" i="4"/>
  <c r="W220" i="4"/>
  <c r="W219" i="4"/>
  <c r="W218" i="4"/>
  <c r="W217" i="4"/>
  <c r="W216" i="4"/>
  <c r="W215" i="4"/>
  <c r="W214" i="4"/>
  <c r="W213" i="4"/>
  <c r="W212" i="4"/>
  <c r="W211" i="4"/>
  <c r="W210" i="4"/>
  <c r="W209" i="4"/>
  <c r="W208" i="4"/>
  <c r="W207" i="4"/>
  <c r="W206" i="4"/>
  <c r="W205" i="4"/>
  <c r="W204" i="4"/>
  <c r="W203" i="4"/>
  <c r="W202" i="4"/>
  <c r="W201" i="4"/>
  <c r="W200" i="4"/>
  <c r="W199" i="4"/>
  <c r="W198" i="4"/>
  <c r="W197" i="4"/>
  <c r="W196" i="4"/>
  <c r="W195" i="4"/>
  <c r="W194" i="4"/>
  <c r="W193" i="4"/>
  <c r="W192" i="4"/>
  <c r="W191" i="4"/>
  <c r="W190" i="4"/>
  <c r="W189" i="4"/>
  <c r="W188" i="4"/>
  <c r="W187" i="4"/>
  <c r="W186" i="4"/>
  <c r="W185" i="4"/>
  <c r="W184" i="4"/>
  <c r="W183" i="4"/>
  <c r="W182" i="4"/>
  <c r="W181" i="4"/>
  <c r="W180" i="4"/>
  <c r="W179" i="4"/>
  <c r="W178" i="4"/>
  <c r="W177" i="4"/>
  <c r="W176" i="4"/>
  <c r="W175" i="4"/>
  <c r="W174" i="4"/>
  <c r="W173" i="4"/>
  <c r="W172" i="4"/>
  <c r="W171" i="4"/>
  <c r="W170" i="4"/>
  <c r="W169" i="4"/>
  <c r="W168" i="4"/>
  <c r="W167" i="4"/>
  <c r="W166" i="4"/>
  <c r="W165" i="4"/>
  <c r="W164" i="4"/>
  <c r="W163" i="4"/>
  <c r="W162" i="4"/>
  <c r="W161" i="4"/>
  <c r="W160" i="4"/>
  <c r="W159" i="4"/>
  <c r="W158" i="4"/>
  <c r="W157" i="4"/>
  <c r="W156" i="4"/>
  <c r="W155" i="4"/>
  <c r="W154" i="4"/>
  <c r="W153" i="4"/>
  <c r="W152" i="4"/>
  <c r="W151" i="4"/>
  <c r="W150" i="4"/>
  <c r="W149" i="4"/>
  <c r="W148" i="4"/>
  <c r="W147" i="4"/>
  <c r="W146" i="4"/>
  <c r="W145" i="4"/>
  <c r="W144" i="4"/>
  <c r="W143" i="4"/>
  <c r="W142" i="4"/>
  <c r="W141" i="4"/>
  <c r="W140" i="4"/>
  <c r="W139" i="4"/>
  <c r="W138" i="4"/>
  <c r="W137" i="4"/>
  <c r="W136" i="4"/>
  <c r="W135" i="4"/>
  <c r="W134" i="4"/>
  <c r="W133" i="4"/>
  <c r="W132" i="4"/>
  <c r="W131" i="4"/>
  <c r="W130" i="4"/>
  <c r="W129" i="4"/>
  <c r="W128" i="4"/>
  <c r="W127" i="4"/>
  <c r="W126" i="4"/>
  <c r="W125" i="4"/>
  <c r="W124" i="4"/>
  <c r="W123" i="4"/>
  <c r="W122" i="4"/>
  <c r="W121" i="4"/>
  <c r="W120" i="4"/>
  <c r="W119" i="4"/>
  <c r="W118" i="4"/>
  <c r="W117" i="4"/>
  <c r="W116" i="4"/>
  <c r="W115" i="4"/>
  <c r="W114" i="4"/>
  <c r="W113" i="4"/>
  <c r="W112" i="4"/>
  <c r="W111" i="4"/>
  <c r="W110" i="4"/>
  <c r="W109" i="4"/>
  <c r="W108" i="4"/>
  <c r="W107" i="4"/>
  <c r="W106" i="4"/>
  <c r="W105" i="4"/>
  <c r="W104" i="4"/>
  <c r="W103" i="4"/>
  <c r="W102" i="4"/>
  <c r="W101" i="4"/>
  <c r="W100" i="4"/>
  <c r="W99" i="4"/>
  <c r="W98" i="4"/>
  <c r="W97" i="4"/>
  <c r="W96" i="4"/>
  <c r="W95" i="4"/>
  <c r="W94" i="4"/>
  <c r="W93" i="4"/>
  <c r="W92" i="4"/>
  <c r="W91" i="4"/>
  <c r="W90" i="4"/>
  <c r="W89" i="4"/>
  <c r="W88" i="4"/>
  <c r="W87" i="4"/>
  <c r="W86" i="4"/>
  <c r="W85" i="4"/>
  <c r="W84" i="4"/>
  <c r="W83" i="4"/>
  <c r="W82" i="4"/>
  <c r="W81" i="4"/>
  <c r="W80" i="4"/>
  <c r="W79" i="4"/>
  <c r="W78" i="4"/>
  <c r="W77" i="4"/>
  <c r="W76" i="4"/>
  <c r="W75" i="4"/>
  <c r="W74" i="4"/>
  <c r="W73" i="4"/>
  <c r="W72" i="4"/>
  <c r="W71" i="4"/>
  <c r="W70" i="4"/>
  <c r="W69" i="4"/>
  <c r="W68" i="4"/>
  <c r="W67" i="4"/>
  <c r="W66" i="4"/>
  <c r="W65" i="4"/>
  <c r="W64" i="4"/>
  <c r="W63" i="4"/>
  <c r="W62" i="4"/>
  <c r="W61" i="4"/>
  <c r="W60" i="4"/>
  <c r="W59" i="4"/>
  <c r="W58" i="4"/>
  <c r="W57" i="4"/>
  <c r="W56" i="4"/>
  <c r="W55" i="4"/>
  <c r="W54" i="4"/>
  <c r="W53" i="4"/>
  <c r="W52" i="4"/>
  <c r="W51" i="4"/>
  <c r="W50" i="4"/>
  <c r="W49" i="4"/>
  <c r="W48" i="4"/>
  <c r="W47" i="4"/>
  <c r="W46" i="4"/>
  <c r="W45" i="4"/>
  <c r="W44" i="4"/>
  <c r="W43" i="4"/>
  <c r="W42" i="4"/>
  <c r="W41" i="4"/>
  <c r="W40" i="4"/>
  <c r="W39" i="4"/>
  <c r="W38" i="4"/>
  <c r="W37" i="4"/>
  <c r="W36" i="4"/>
  <c r="W35" i="4"/>
  <c r="W34" i="4"/>
  <c r="W33" i="4"/>
  <c r="W32" i="4"/>
  <c r="W31" i="4"/>
  <c r="W30" i="4"/>
  <c r="W29" i="4"/>
  <c r="W28" i="4"/>
  <c r="W27" i="4"/>
  <c r="W26" i="4"/>
  <c r="W25" i="4"/>
  <c r="W24" i="4"/>
  <c r="W23" i="4"/>
  <c r="W22" i="4"/>
  <c r="W21" i="4"/>
  <c r="W20" i="4"/>
  <c r="W19" i="4"/>
  <c r="W18" i="4"/>
  <c r="W17" i="4"/>
  <c r="W16" i="4"/>
  <c r="W15" i="4"/>
  <c r="W14" i="4"/>
  <c r="W13" i="4"/>
  <c r="W12" i="4"/>
  <c r="W11" i="4"/>
  <c r="W10" i="4"/>
  <c r="W9" i="4"/>
  <c r="W8" i="4"/>
  <c r="W7" i="4"/>
  <c r="W6" i="4"/>
  <c r="W5" i="4"/>
  <c r="W4" i="4"/>
  <c r="W3" i="4"/>
  <c r="W2" i="4"/>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T13" i="3"/>
  <c r="T12" i="3"/>
  <c r="T11" i="3"/>
  <c r="T10" i="3"/>
  <c r="T9" i="3"/>
  <c r="T8" i="3"/>
  <c r="T7" i="3"/>
  <c r="T6" i="3"/>
  <c r="T5" i="3"/>
  <c r="T4" i="3"/>
  <c r="T3" i="3"/>
  <c r="T2" i="3"/>
  <c r="V104" i="2"/>
  <c r="V103" i="2"/>
  <c r="V102" i="2"/>
  <c r="V101" i="2"/>
  <c r="V100" i="2"/>
  <c r="V99" i="2"/>
  <c r="V98" i="2"/>
  <c r="V97" i="2"/>
  <c r="V96" i="2"/>
  <c r="V95" i="2"/>
  <c r="V94" i="2"/>
  <c r="V93" i="2"/>
  <c r="V92" i="2"/>
  <c r="V91" i="2"/>
  <c r="V90" i="2"/>
  <c r="V89" i="2"/>
  <c r="V88" i="2"/>
  <c r="V87" i="2"/>
  <c r="V86" i="2"/>
  <c r="V85" i="2"/>
  <c r="V84" i="2"/>
  <c r="V83" i="2"/>
  <c r="V82" i="2"/>
  <c r="V81" i="2"/>
  <c r="V80" i="2"/>
  <c r="V79" i="2"/>
  <c r="V78" i="2"/>
  <c r="V77" i="2"/>
  <c r="V76" i="2"/>
  <c r="V75" i="2"/>
  <c r="V74" i="2"/>
  <c r="V73" i="2"/>
  <c r="V72" i="2"/>
  <c r="V71" i="2"/>
  <c r="V70" i="2"/>
  <c r="V69" i="2"/>
  <c r="V68" i="2"/>
  <c r="V67" i="2"/>
  <c r="V66" i="2"/>
  <c r="V65" i="2"/>
  <c r="V64" i="2"/>
  <c r="V63" i="2"/>
  <c r="V62" i="2"/>
  <c r="V61" i="2"/>
  <c r="V60" i="2"/>
  <c r="V59" i="2"/>
  <c r="V58" i="2"/>
  <c r="V57" i="2"/>
  <c r="V56" i="2"/>
  <c r="V55" i="2"/>
  <c r="V54" i="2"/>
  <c r="V53" i="2"/>
  <c r="V52" i="2"/>
  <c r="V51" i="2"/>
  <c r="V50" i="2"/>
  <c r="V49" i="2"/>
  <c r="V48" i="2"/>
  <c r="V47" i="2"/>
  <c r="V46" i="2"/>
  <c r="V45" i="2"/>
  <c r="V44" i="2"/>
  <c r="V43" i="2"/>
  <c r="V42" i="2"/>
  <c r="V41" i="2"/>
  <c r="V40" i="2"/>
  <c r="V39" i="2"/>
  <c r="V38" i="2"/>
  <c r="V37" i="2"/>
  <c r="V36" i="2"/>
  <c r="V35" i="2"/>
  <c r="V34" i="2"/>
  <c r="V33" i="2"/>
  <c r="V32" i="2"/>
  <c r="V31" i="2"/>
  <c r="V30" i="2"/>
  <c r="V29" i="2"/>
  <c r="V28" i="2"/>
  <c r="V27" i="2"/>
  <c r="V26" i="2"/>
  <c r="V25" i="2"/>
  <c r="V24" i="2"/>
  <c r="V23" i="2"/>
  <c r="V22" i="2"/>
  <c r="V21" i="2"/>
  <c r="V20" i="2"/>
  <c r="V19" i="2"/>
  <c r="V18" i="2"/>
  <c r="V17" i="2"/>
  <c r="V16" i="2"/>
  <c r="V15" i="2"/>
  <c r="V14" i="2"/>
  <c r="V13" i="2"/>
  <c r="V12" i="2"/>
  <c r="V11" i="2"/>
  <c r="V10" i="2"/>
  <c r="V9" i="2"/>
  <c r="V8" i="2"/>
  <c r="V7" i="2"/>
  <c r="V6" i="2"/>
  <c r="V5" i="2"/>
  <c r="V4" i="2"/>
  <c r="V3" i="2"/>
  <c r="V2" i="2"/>
  <c r="O1" i="1"/>
  <c r="A17" i="7"/>
  <c r="A29" i="7"/>
  <c r="A21" i="7"/>
  <c r="A31" i="7"/>
  <c r="A5" i="7"/>
  <c r="A23" i="7"/>
  <c r="A10" i="7"/>
  <c r="A8" i="7"/>
  <c r="A19" i="7"/>
  <c r="A16" i="7"/>
  <c r="A18" i="7"/>
  <c r="A30" i="7"/>
  <c r="A14" i="7"/>
  <c r="A4" i="7"/>
  <c r="A22" i="7"/>
  <c r="A11" i="7"/>
  <c r="A13" i="7"/>
  <c r="A15" i="7"/>
  <c r="A26" i="7"/>
  <c r="A7" i="7"/>
  <c r="A12" i="7"/>
  <c r="A27" i="7"/>
  <c r="A3" i="7"/>
  <c r="A33" i="7"/>
  <c r="A32" i="7"/>
  <c r="A9" i="7"/>
  <c r="A25" i="7"/>
  <c r="A6" i="7"/>
  <c r="A20" i="7"/>
  <c r="A24" i="7"/>
  <c r="A28" i="7"/>
  <c r="A2" i="7"/>
  <c r="A20" i="6"/>
  <c r="A33" i="6"/>
  <c r="A21" i="6"/>
  <c r="A29" i="6"/>
  <c r="A7" i="6"/>
  <c r="A23" i="6"/>
  <c r="A34" i="6"/>
  <c r="A4" i="6"/>
  <c r="A32" i="6"/>
  <c r="A30" i="6"/>
  <c r="A25" i="6"/>
  <c r="A16" i="6"/>
  <c r="A39" i="6"/>
  <c r="A12" i="6"/>
  <c r="A36" i="6"/>
  <c r="A35" i="6"/>
  <c r="A2" i="6"/>
  <c r="A10" i="6"/>
  <c r="A31" i="6"/>
  <c r="A28" i="6"/>
  <c r="A14" i="6"/>
  <c r="A19" i="6"/>
  <c r="A13" i="6"/>
  <c r="A24" i="6"/>
  <c r="A5" i="6"/>
  <c r="A22" i="6"/>
  <c r="A11" i="6"/>
  <c r="A8" i="6"/>
  <c r="A38" i="6"/>
  <c r="A27" i="6"/>
  <c r="A37" i="6"/>
  <c r="A15" i="6"/>
  <c r="A17" i="6"/>
  <c r="A6" i="6"/>
  <c r="A26" i="6"/>
  <c r="A3" i="6"/>
  <c r="A18" i="6"/>
  <c r="A9" i="6"/>
  <c r="A131" i="5"/>
  <c r="A89" i="5"/>
  <c r="A78" i="5"/>
  <c r="A74" i="5"/>
  <c r="A71" i="5"/>
  <c r="A3" i="5"/>
  <c r="A100" i="5"/>
  <c r="A72" i="5"/>
  <c r="A53" i="5"/>
  <c r="A5" i="5"/>
  <c r="A91" i="5"/>
  <c r="A82" i="5"/>
  <c r="A33" i="5"/>
  <c r="A27" i="5"/>
  <c r="A42" i="5"/>
  <c r="A35" i="5"/>
  <c r="A26" i="5"/>
  <c r="A130" i="5"/>
  <c r="A129" i="5"/>
  <c r="A87" i="5"/>
  <c r="A29" i="5"/>
  <c r="A11" i="5"/>
  <c r="A128" i="5"/>
  <c r="A95" i="5"/>
  <c r="A49" i="5"/>
  <c r="A9" i="5"/>
  <c r="A127" i="5"/>
  <c r="A96" i="5"/>
  <c r="A90" i="5"/>
  <c r="A44" i="5"/>
  <c r="A14" i="5"/>
  <c r="A126" i="5"/>
  <c r="A66" i="5"/>
  <c r="A18" i="5"/>
  <c r="A125" i="5"/>
  <c r="A57" i="5"/>
  <c r="A37" i="5"/>
  <c r="A21" i="5"/>
  <c r="A124" i="5"/>
  <c r="A84" i="5"/>
  <c r="A67" i="5"/>
  <c r="A56" i="5"/>
  <c r="A106" i="5"/>
  <c r="A105" i="5"/>
  <c r="A65" i="5"/>
  <c r="A28" i="5"/>
  <c r="A75" i="5"/>
  <c r="A32" i="5"/>
  <c r="A6" i="5"/>
  <c r="A123" i="5"/>
  <c r="A122" i="5"/>
  <c r="A77" i="5"/>
  <c r="A8" i="5"/>
  <c r="A2" i="5"/>
  <c r="A52" i="5"/>
  <c r="A38" i="5"/>
  <c r="A22" i="5"/>
  <c r="A121" i="5"/>
  <c r="A120" i="5"/>
  <c r="A119" i="5"/>
  <c r="A68" i="5"/>
  <c r="A36" i="5"/>
  <c r="A118" i="5"/>
  <c r="A117" i="5"/>
  <c r="A97" i="5"/>
  <c r="A63" i="5"/>
  <c r="A34" i="5"/>
  <c r="A31" i="5"/>
  <c r="A116" i="5"/>
  <c r="A76" i="5"/>
  <c r="A51" i="5"/>
  <c r="A7" i="5"/>
  <c r="A85" i="5"/>
  <c r="A47" i="5"/>
  <c r="A15" i="5"/>
  <c r="A115" i="5"/>
  <c r="A93" i="5"/>
  <c r="A30" i="5"/>
  <c r="A17" i="5"/>
  <c r="A114" i="5"/>
  <c r="A69" i="5"/>
  <c r="A40" i="5"/>
  <c r="A113" i="5"/>
  <c r="A80" i="5"/>
  <c r="A25" i="5"/>
  <c r="A24" i="5"/>
  <c r="A112" i="5"/>
  <c r="A111" i="5"/>
  <c r="A110" i="5"/>
  <c r="A109" i="5"/>
  <c r="A59" i="5"/>
  <c r="A20" i="5"/>
  <c r="A94" i="5"/>
  <c r="A83" i="5"/>
  <c r="A64" i="5"/>
  <c r="A48" i="5"/>
  <c r="A62" i="5"/>
  <c r="A41" i="5"/>
  <c r="A10" i="5"/>
  <c r="A104" i="5"/>
  <c r="A81" i="5"/>
  <c r="A13" i="5"/>
  <c r="A98" i="5"/>
  <c r="A46" i="5"/>
  <c r="A45" i="5"/>
  <c r="A16" i="5"/>
  <c r="A108" i="5"/>
  <c r="A107" i="5"/>
  <c r="A54" i="5"/>
  <c r="A12" i="5"/>
  <c r="A103" i="5"/>
  <c r="A102" i="5"/>
  <c r="A58" i="5"/>
  <c r="A4" i="5"/>
  <c r="A99" i="5"/>
  <c r="A55" i="5"/>
  <c r="A50" i="5"/>
  <c r="A19" i="5"/>
  <c r="A101" i="5"/>
  <c r="A86" i="5"/>
  <c r="A73" i="5"/>
  <c r="A70" i="5"/>
  <c r="A61" i="5"/>
  <c r="A88" i="5"/>
  <c r="A60" i="5"/>
  <c r="A23" i="5"/>
  <c r="A92" i="5"/>
  <c r="A79" i="5"/>
  <c r="A43" i="5"/>
  <c r="A39" i="5"/>
  <c r="A170" i="4"/>
  <c r="A140" i="4"/>
  <c r="A79" i="4"/>
  <c r="A77" i="4"/>
  <c r="A51" i="4"/>
  <c r="A38" i="4"/>
  <c r="A206" i="4"/>
  <c r="A134" i="4"/>
  <c r="A125" i="4"/>
  <c r="A91" i="4"/>
  <c r="A80" i="4"/>
  <c r="A75" i="4"/>
  <c r="A66" i="4"/>
  <c r="A60" i="4"/>
  <c r="A219" i="4"/>
  <c r="A172" i="4"/>
  <c r="A149" i="4"/>
  <c r="A141" i="4"/>
  <c r="A120" i="4"/>
  <c r="A113" i="4"/>
  <c r="A43" i="4"/>
  <c r="A13" i="4"/>
  <c r="A246" i="4"/>
  <c r="A195" i="4"/>
  <c r="A158" i="4"/>
  <c r="A129" i="4"/>
  <c r="A88" i="4"/>
  <c r="A69" i="4"/>
  <c r="A40" i="4"/>
  <c r="A198" i="4"/>
  <c r="A215" i="4"/>
  <c r="A168" i="4"/>
  <c r="A132" i="4"/>
  <c r="A64" i="4"/>
  <c r="A37" i="4"/>
  <c r="A27" i="4"/>
  <c r="A155" i="4"/>
  <c r="A136" i="4"/>
  <c r="A112" i="4"/>
  <c r="A96" i="4"/>
  <c r="A93" i="4"/>
  <c r="A49" i="4"/>
  <c r="A12" i="4"/>
  <c r="A245" i="4"/>
  <c r="A244" i="4"/>
  <c r="A243" i="4"/>
  <c r="A121" i="4"/>
  <c r="A56" i="4"/>
  <c r="A47" i="4"/>
  <c r="A2" i="4"/>
  <c r="A221" i="4"/>
  <c r="A145" i="4"/>
  <c r="A128" i="4"/>
  <c r="A122" i="4"/>
  <c r="A101" i="4"/>
  <c r="A70" i="4"/>
  <c r="A26" i="4"/>
  <c r="A242" i="4"/>
  <c r="A124" i="4"/>
  <c r="A86" i="4"/>
  <c r="A34" i="4"/>
  <c r="A18" i="4"/>
  <c r="A241" i="4"/>
  <c r="A191" i="4"/>
  <c r="A185" i="4"/>
  <c r="A153" i="4"/>
  <c r="A111" i="4"/>
  <c r="A106" i="4"/>
  <c r="A23" i="4"/>
  <c r="A7" i="4"/>
  <c r="A240" i="4"/>
  <c r="A218" i="4"/>
  <c r="A114" i="4"/>
  <c r="A81" i="4"/>
  <c r="A46" i="4"/>
  <c r="A4" i="4"/>
  <c r="A239" i="4"/>
  <c r="A238" i="4"/>
  <c r="A184" i="4"/>
  <c r="A97" i="4"/>
  <c r="A55" i="4"/>
  <c r="A41" i="4"/>
  <c r="A15" i="4"/>
  <c r="A237" i="4"/>
  <c r="A197" i="4"/>
  <c r="A162" i="4"/>
  <c r="A130" i="4"/>
  <c r="A110" i="4"/>
  <c r="A92" i="4"/>
  <c r="A72" i="4"/>
  <c r="A24" i="4"/>
  <c r="A236" i="4"/>
  <c r="A192" i="4"/>
  <c r="A165" i="4"/>
  <c r="A95" i="4"/>
  <c r="A89" i="4"/>
  <c r="A53" i="4"/>
  <c r="A42" i="4"/>
  <c r="A204" i="4"/>
  <c r="A179" i="4"/>
  <c r="A178" i="4"/>
  <c r="A107" i="4"/>
  <c r="A87" i="4"/>
  <c r="A35" i="4"/>
  <c r="A20" i="4"/>
  <c r="A186" i="4"/>
  <c r="A161" i="4"/>
  <c r="A157" i="4"/>
  <c r="A117" i="4"/>
  <c r="A103" i="4"/>
  <c r="A61" i="4"/>
  <c r="A44" i="4"/>
  <c r="A235" i="4"/>
  <c r="A234" i="4"/>
  <c r="A216" i="4"/>
  <c r="A202" i="4"/>
  <c r="A193" i="4"/>
  <c r="A182" i="4"/>
  <c r="A169" i="4"/>
  <c r="A94" i="4"/>
  <c r="A85" i="4"/>
  <c r="A21" i="4"/>
  <c r="A233" i="4"/>
  <c r="A232" i="4"/>
  <c r="A231" i="4"/>
  <c r="A154" i="4"/>
  <c r="A100" i="4"/>
  <c r="A98" i="4"/>
  <c r="A32" i="4"/>
  <c r="A10" i="4"/>
  <c r="A213" i="4"/>
  <c r="A181" i="4"/>
  <c r="A152" i="4"/>
  <c r="A58" i="4"/>
  <c r="A29" i="4"/>
  <c r="A16" i="4"/>
  <c r="A151" i="4"/>
  <c r="A119" i="4"/>
  <c r="A109" i="4"/>
  <c r="A74" i="4"/>
  <c r="A67" i="4"/>
  <c r="A5" i="4"/>
  <c r="A230" i="4"/>
  <c r="A164" i="4"/>
  <c r="A108" i="4"/>
  <c r="A99" i="4"/>
  <c r="A68" i="4"/>
  <c r="A19" i="4"/>
  <c r="A9" i="4"/>
  <c r="A229" i="4"/>
  <c r="A214" i="4"/>
  <c r="A203" i="4"/>
  <c r="A150" i="4"/>
  <c r="A143" i="4"/>
  <c r="A139" i="4"/>
  <c r="A73" i="4"/>
  <c r="A36" i="4"/>
  <c r="A17" i="4"/>
  <c r="A210" i="4"/>
  <c r="A199" i="4"/>
  <c r="A131" i="4"/>
  <c r="A126" i="4"/>
  <c r="A118" i="4"/>
  <c r="A33" i="4"/>
  <c r="A14" i="4"/>
  <c r="A228" i="4"/>
  <c r="A227" i="4"/>
  <c r="A147" i="4"/>
  <c r="A135" i="4"/>
  <c r="A78" i="4"/>
  <c r="A54" i="4"/>
  <c r="A8" i="4"/>
  <c r="A220" i="4"/>
  <c r="A211" i="4"/>
  <c r="A189" i="4"/>
  <c r="A183" i="4"/>
  <c r="A138" i="4"/>
  <c r="A137" i="4"/>
  <c r="A102" i="4"/>
  <c r="A90" i="4"/>
  <c r="A50" i="4"/>
  <c r="A45" i="4"/>
  <c r="A209" i="4"/>
  <c r="A163" i="4"/>
  <c r="A133" i="4"/>
  <c r="A83" i="4"/>
  <c r="A65" i="4"/>
  <c r="A6" i="4"/>
  <c r="A180" i="4"/>
  <c r="A176" i="4"/>
  <c r="A174" i="4"/>
  <c r="A171" i="4"/>
  <c r="A148" i="4"/>
  <c r="A123" i="4"/>
  <c r="A82" i="4"/>
  <c r="A39" i="4"/>
  <c r="A11" i="4"/>
  <c r="A226" i="4"/>
  <c r="A225" i="4"/>
  <c r="A200" i="4"/>
  <c r="A196" i="4"/>
  <c r="A188" i="4"/>
  <c r="A175" i="4"/>
  <c r="A105" i="4"/>
  <c r="A76" i="4"/>
  <c r="A62" i="4"/>
  <c r="A30" i="4"/>
  <c r="A224" i="4"/>
  <c r="A208" i="4"/>
  <c r="A205" i="4"/>
  <c r="A201" i="4"/>
  <c r="A177" i="4"/>
  <c r="A173" i="4"/>
  <c r="A160" i="4"/>
  <c r="A127" i="4"/>
  <c r="A116" i="4"/>
  <c r="A63" i="4"/>
  <c r="A22" i="4"/>
  <c r="A223" i="4"/>
  <c r="A194" i="4"/>
  <c r="A167" i="4"/>
  <c r="A166" i="4"/>
  <c r="A156" i="4"/>
  <c r="A144" i="4"/>
  <c r="A142" i="4"/>
  <c r="A71" i="4"/>
  <c r="A59" i="4"/>
  <c r="A57" i="4"/>
  <c r="A48" i="4"/>
  <c r="A222" i="4"/>
  <c r="A212" i="4"/>
  <c r="A190" i="4"/>
  <c r="A187" i="4"/>
  <c r="A159" i="4"/>
  <c r="A115" i="4"/>
  <c r="A84" i="4"/>
  <c r="A52" i="4"/>
  <c r="A3" i="4"/>
  <c r="A217" i="4"/>
  <c r="A207" i="4"/>
  <c r="A146" i="4"/>
  <c r="A104" i="4"/>
  <c r="A31" i="4"/>
  <c r="A28" i="4"/>
  <c r="A25" i="4"/>
  <c r="A125" i="3"/>
  <c r="A116" i="3"/>
  <c r="A101" i="3"/>
  <c r="A50" i="3"/>
  <c r="A24" i="3"/>
  <c r="A189" i="3"/>
  <c r="A119" i="3"/>
  <c r="A107" i="3"/>
  <c r="A103" i="3"/>
  <c r="A73" i="3"/>
  <c r="A48" i="3"/>
  <c r="A25" i="3"/>
  <c r="A163" i="3"/>
  <c r="A139" i="3"/>
  <c r="A127" i="3"/>
  <c r="A36" i="3"/>
  <c r="A12" i="3"/>
  <c r="A130" i="3"/>
  <c r="A122" i="3"/>
  <c r="A108" i="3"/>
  <c r="A105" i="3"/>
  <c r="A95" i="3"/>
  <c r="A57" i="3"/>
  <c r="A18" i="3"/>
  <c r="A121" i="3"/>
  <c r="A87" i="3"/>
  <c r="A47" i="3"/>
  <c r="A19" i="3"/>
  <c r="A188" i="3"/>
  <c r="A92" i="3"/>
  <c r="A30" i="3"/>
  <c r="A17" i="3"/>
  <c r="A160" i="3"/>
  <c r="A123" i="3"/>
  <c r="A43" i="3"/>
  <c r="A9" i="3"/>
  <c r="A126" i="3"/>
  <c r="A76" i="3"/>
  <c r="A37" i="3"/>
  <c r="A27" i="3"/>
  <c r="A170" i="3"/>
  <c r="A113" i="3"/>
  <c r="A96" i="3"/>
  <c r="A89" i="3"/>
  <c r="A88" i="3"/>
  <c r="A54" i="3"/>
  <c r="A20" i="3"/>
  <c r="A187" i="3"/>
  <c r="A186" i="3"/>
  <c r="A142" i="3"/>
  <c r="A138" i="3"/>
  <c r="A83" i="3"/>
  <c r="A42" i="3"/>
  <c r="A14" i="3"/>
  <c r="A155" i="3"/>
  <c r="A133" i="3"/>
  <c r="A129" i="3"/>
  <c r="A128" i="3"/>
  <c r="A115" i="3"/>
  <c r="A69" i="3"/>
  <c r="A38" i="3"/>
  <c r="A33" i="3"/>
  <c r="A171" i="3"/>
  <c r="A165" i="3"/>
  <c r="A162" i="3"/>
  <c r="A154" i="3"/>
  <c r="A145" i="3"/>
  <c r="A60" i="3"/>
  <c r="A58" i="3"/>
  <c r="A10" i="3"/>
  <c r="A185" i="3"/>
  <c r="A152" i="3"/>
  <c r="A141" i="3"/>
  <c r="A100" i="3"/>
  <c r="A84" i="3"/>
  <c r="A44" i="3"/>
  <c r="A16" i="3"/>
  <c r="A153" i="3"/>
  <c r="A91" i="3"/>
  <c r="A86" i="3"/>
  <c r="A53" i="3"/>
  <c r="A7" i="3"/>
  <c r="A158" i="3"/>
  <c r="A132" i="3"/>
  <c r="A81" i="3"/>
  <c r="A71" i="3"/>
  <c r="A45" i="3"/>
  <c r="A32" i="3"/>
  <c r="A159" i="3"/>
  <c r="A147" i="3"/>
  <c r="A72" i="3"/>
  <c r="A59" i="3"/>
  <c r="A3" i="3"/>
  <c r="A184" i="3"/>
  <c r="A151" i="3"/>
  <c r="A94" i="3"/>
  <c r="A80" i="3"/>
  <c r="A74" i="3"/>
  <c r="A68" i="3"/>
  <c r="A5" i="3"/>
  <c r="A183" i="3"/>
  <c r="A99" i="3"/>
  <c r="A97" i="3"/>
  <c r="A41" i="3"/>
  <c r="A34" i="3"/>
  <c r="A175" i="3"/>
  <c r="A169" i="3"/>
  <c r="A109" i="3"/>
  <c r="A79" i="3"/>
  <c r="A56" i="3"/>
  <c r="A26" i="3"/>
  <c r="A174" i="3"/>
  <c r="A149" i="3"/>
  <c r="A148" i="3"/>
  <c r="A93" i="3"/>
  <c r="A78" i="3"/>
  <c r="A77" i="3"/>
  <c r="A4" i="3"/>
  <c r="A135" i="3"/>
  <c r="A134" i="3"/>
  <c r="A46" i="3"/>
  <c r="A13" i="3"/>
  <c r="A168" i="3"/>
  <c r="A140" i="3"/>
  <c r="A131" i="3"/>
  <c r="A106" i="3"/>
  <c r="A98" i="3"/>
  <c r="A35" i="3"/>
  <c r="A31" i="3"/>
  <c r="A182" i="3"/>
  <c r="A124" i="3"/>
  <c r="A65" i="3"/>
  <c r="A63" i="3"/>
  <c r="A15" i="3"/>
  <c r="A172" i="3"/>
  <c r="A144" i="3"/>
  <c r="A112" i="3"/>
  <c r="A82" i="3"/>
  <c r="A55" i="3"/>
  <c r="A8" i="3"/>
  <c r="A181" i="3"/>
  <c r="A173" i="3"/>
  <c r="A164" i="3"/>
  <c r="A161" i="3"/>
  <c r="A143" i="3"/>
  <c r="A40" i="3"/>
  <c r="A23" i="3"/>
  <c r="A156" i="3"/>
  <c r="A146" i="3"/>
  <c r="A28" i="3"/>
  <c r="A21" i="3"/>
  <c r="A180" i="3"/>
  <c r="A179" i="3"/>
  <c r="A104" i="3"/>
  <c r="A70" i="3"/>
  <c r="A51" i="3"/>
  <c r="A22" i="3"/>
  <c r="A167" i="3"/>
  <c r="A120" i="3"/>
  <c r="A75" i="3"/>
  <c r="A62" i="3"/>
  <c r="A29" i="3"/>
  <c r="A190" i="3"/>
  <c r="A178" i="3"/>
  <c r="A177" i="3"/>
  <c r="A157" i="3"/>
  <c r="A137" i="3"/>
  <c r="A102" i="3"/>
  <c r="A90" i="3"/>
  <c r="A67" i="3"/>
  <c r="A11" i="3"/>
  <c r="A166" i="3"/>
  <c r="A114" i="3"/>
  <c r="A110" i="3"/>
  <c r="A85" i="3"/>
  <c r="A64" i="3"/>
  <c r="A49" i="3"/>
  <c r="A39" i="3"/>
  <c r="A176" i="3"/>
  <c r="A150" i="3"/>
  <c r="A118" i="3"/>
  <c r="A111" i="3"/>
  <c r="A52" i="3"/>
  <c r="A6" i="3"/>
  <c r="A136" i="3"/>
  <c r="A117" i="3"/>
  <c r="A66" i="3"/>
  <c r="A61" i="3"/>
  <c r="A2" i="3"/>
  <c r="A104" i="2"/>
  <c r="A45" i="2"/>
  <c r="A12" i="2"/>
  <c r="A103" i="2"/>
  <c r="A52" i="2"/>
  <c r="A23" i="2"/>
  <c r="A102" i="2"/>
  <c r="A101" i="2"/>
  <c r="A51" i="2"/>
  <c r="A17" i="2"/>
  <c r="A100" i="2"/>
  <c r="A99" i="2"/>
  <c r="A34" i="2"/>
  <c r="A31" i="2"/>
  <c r="A5" i="2"/>
  <c r="A68" i="2"/>
  <c r="A62" i="2"/>
  <c r="A8" i="2"/>
  <c r="A60" i="2"/>
  <c r="A63" i="2"/>
  <c r="A7" i="2"/>
  <c r="A46" i="2"/>
  <c r="A35" i="2"/>
  <c r="A32" i="2"/>
  <c r="A98" i="2"/>
  <c r="A50" i="2"/>
  <c r="A15" i="2"/>
  <c r="A77" i="2"/>
  <c r="A56" i="2"/>
  <c r="A44" i="2"/>
  <c r="A19" i="2"/>
  <c r="A97" i="2"/>
  <c r="A69" i="2"/>
  <c r="A9" i="2"/>
  <c r="A96" i="2"/>
  <c r="A74" i="2"/>
  <c r="A4" i="2"/>
  <c r="A75" i="2"/>
  <c r="A36" i="2"/>
  <c r="A26" i="2"/>
  <c r="A95" i="2"/>
  <c r="A55" i="2"/>
  <c r="A28" i="2"/>
  <c r="A94" i="2"/>
  <c r="A93" i="2"/>
  <c r="A72" i="2"/>
  <c r="A14" i="2"/>
  <c r="A92" i="2"/>
  <c r="A40" i="2"/>
  <c r="A30" i="2"/>
  <c r="A91" i="2"/>
  <c r="A76" i="2"/>
  <c r="A59" i="2"/>
  <c r="A64" i="2"/>
  <c r="A21" i="2"/>
  <c r="A65" i="2"/>
  <c r="A10" i="2"/>
  <c r="A90" i="2"/>
  <c r="A58" i="2"/>
  <c r="A6" i="2"/>
  <c r="A78" i="2"/>
  <c r="A43" i="2"/>
  <c r="A27" i="2"/>
  <c r="A73" i="2"/>
  <c r="A3" i="2"/>
  <c r="A89" i="2"/>
  <c r="A53" i="2"/>
  <c r="A13" i="2"/>
  <c r="A42" i="2"/>
  <c r="A37" i="2"/>
  <c r="A33" i="2"/>
  <c r="A66" i="2"/>
  <c r="A39" i="2"/>
  <c r="A24" i="2"/>
  <c r="A71" i="2"/>
  <c r="A48" i="2"/>
  <c r="A38" i="2"/>
  <c r="A29" i="2"/>
  <c r="A88" i="2"/>
  <c r="A47" i="2"/>
  <c r="A20" i="2"/>
  <c r="A87" i="2"/>
  <c r="A86" i="2"/>
  <c r="A61" i="2"/>
  <c r="A41" i="2"/>
  <c r="A25" i="2"/>
  <c r="A85" i="2"/>
  <c r="A67" i="2"/>
  <c r="A2" i="2"/>
  <c r="A84" i="2"/>
  <c r="A49" i="2"/>
  <c r="A22" i="2"/>
  <c r="A83" i="2"/>
  <c r="A82" i="2"/>
  <c r="A57" i="2"/>
  <c r="A18" i="2"/>
  <c r="A81" i="2"/>
  <c r="A79" i="2"/>
  <c r="A70" i="2"/>
  <c r="A16" i="2"/>
  <c r="A80" i="2"/>
  <c r="A54" i="2"/>
  <c r="A11" i="2"/>
  <c r="F3" i="8"/>
  <c r="F2" i="8"/>
  <c r="F134" i="8"/>
  <c r="F220" i="8"/>
  <c r="F738" i="8"/>
  <c r="F730" i="8"/>
  <c r="F722" i="8"/>
  <c r="F714" i="8"/>
  <c r="F706" i="8"/>
  <c r="F698" i="8"/>
  <c r="F690" i="8"/>
  <c r="F682" i="8"/>
  <c r="F674" i="8"/>
  <c r="F666" i="8"/>
  <c r="F658" i="8"/>
  <c r="F650" i="8"/>
  <c r="F642" i="8"/>
  <c r="F634" i="8"/>
  <c r="F626" i="8"/>
  <c r="F618" i="8"/>
  <c r="F610" i="8"/>
  <c r="F602" i="8"/>
  <c r="F594" i="8"/>
  <c r="F586" i="8"/>
  <c r="F578" i="8"/>
  <c r="F570" i="8"/>
  <c r="F562" i="8"/>
  <c r="F554" i="8"/>
  <c r="F546" i="8"/>
  <c r="F538" i="8"/>
  <c r="F530" i="8"/>
  <c r="F522" i="8"/>
  <c r="F514" i="8"/>
  <c r="F506" i="8"/>
  <c r="F498" i="8"/>
  <c r="F490" i="8"/>
  <c r="F482" i="8"/>
  <c r="F474" i="8"/>
  <c r="F466" i="8"/>
  <c r="F458" i="8"/>
  <c r="F450" i="8"/>
  <c r="F442" i="8"/>
  <c r="F434" i="8"/>
  <c r="F426" i="8"/>
  <c r="F418" i="8"/>
  <c r="F410" i="8"/>
  <c r="F402" i="8"/>
  <c r="F394" i="8"/>
  <c r="F386" i="8"/>
  <c r="F378" i="8"/>
  <c r="F370" i="8"/>
  <c r="F362" i="8"/>
  <c r="F354" i="8"/>
  <c r="F346" i="8"/>
  <c r="F338" i="8"/>
  <c r="F330" i="8"/>
  <c r="F322" i="8"/>
  <c r="F314" i="8"/>
  <c r="F306" i="8"/>
  <c r="F298" i="8"/>
  <c r="F290" i="8"/>
  <c r="F282" i="8"/>
  <c r="F274" i="8"/>
  <c r="F266" i="8"/>
  <c r="F258" i="8"/>
  <c r="F250" i="8"/>
  <c r="F242" i="8"/>
  <c r="F234" i="8"/>
  <c r="F226" i="8"/>
  <c r="F218" i="8"/>
  <c r="F210" i="8"/>
  <c r="F202" i="8"/>
  <c r="F194" i="8"/>
  <c r="F186" i="8"/>
  <c r="F178" i="8"/>
  <c r="F170" i="8"/>
  <c r="F162" i="8"/>
  <c r="F154" i="8"/>
  <c r="F146" i="8"/>
  <c r="F138" i="8"/>
  <c r="F130" i="8"/>
  <c r="F122" i="8"/>
  <c r="F114" i="8"/>
  <c r="F106" i="8"/>
  <c r="F98" i="8"/>
  <c r="F90" i="8"/>
  <c r="F82" i="8"/>
  <c r="F74" i="8"/>
  <c r="F66" i="8"/>
  <c r="F58" i="8"/>
  <c r="F50" i="8"/>
  <c r="F42" i="8"/>
  <c r="F34" i="8"/>
  <c r="F26" i="8"/>
  <c r="F18" i="8"/>
  <c r="F10" i="8"/>
  <c r="F702" i="8"/>
  <c r="F566" i="8"/>
  <c r="F518" i="8"/>
  <c r="F478" i="8"/>
  <c r="F438" i="8"/>
  <c r="F406" i="8"/>
  <c r="F366" i="8"/>
  <c r="F310" i="8"/>
  <c r="F262" i="8"/>
  <c r="F222" i="8"/>
  <c r="F182" i="8"/>
  <c r="F150" i="8"/>
  <c r="F110" i="8"/>
  <c r="F70" i="8"/>
  <c r="F38" i="8"/>
  <c r="F709" i="8"/>
  <c r="F677" i="8"/>
  <c r="F645" i="8"/>
  <c r="F597" i="8"/>
  <c r="F573" i="8"/>
  <c r="F541" i="8"/>
  <c r="F509" i="8"/>
  <c r="F469" i="8"/>
  <c r="F437" i="8"/>
  <c r="F405" i="8"/>
  <c r="F365" i="8"/>
  <c r="F325" i="8"/>
  <c r="F285" i="8"/>
  <c r="F737" i="8"/>
  <c r="F729" i="8"/>
  <c r="F721" i="8"/>
  <c r="F713" i="8"/>
  <c r="F705" i="8"/>
  <c r="F697" i="8"/>
  <c r="F689" i="8"/>
  <c r="F681" i="8"/>
  <c r="F673" i="8"/>
  <c r="F665" i="8"/>
  <c r="F657" i="8"/>
  <c r="F649" i="8"/>
  <c r="F641" i="8"/>
  <c r="F633" i="8"/>
  <c r="F625" i="8"/>
  <c r="F617" i="8"/>
  <c r="F609" i="8"/>
  <c r="F601" i="8"/>
  <c r="F593" i="8"/>
  <c r="F585" i="8"/>
  <c r="F577" i="8"/>
  <c r="F569" i="8"/>
  <c r="F561" i="8"/>
  <c r="F553" i="8"/>
  <c r="F545" i="8"/>
  <c r="F537" i="8"/>
  <c r="F529" i="8"/>
  <c r="F521" i="8"/>
  <c r="F513" i="8"/>
  <c r="F505" i="8"/>
  <c r="F497" i="8"/>
  <c r="F489" i="8"/>
  <c r="F481" i="8"/>
  <c r="F473" i="8"/>
  <c r="F465" i="8"/>
  <c r="F457" i="8"/>
  <c r="F449" i="8"/>
  <c r="F441" i="8"/>
  <c r="F433" i="8"/>
  <c r="F425" i="8"/>
  <c r="F417" i="8"/>
  <c r="F409" i="8"/>
  <c r="F401" i="8"/>
  <c r="F393" i="8"/>
  <c r="F385" i="8"/>
  <c r="F377" i="8"/>
  <c r="F369" i="8"/>
  <c r="F361" i="8"/>
  <c r="F353" i="8"/>
  <c r="F345" i="8"/>
  <c r="F337" i="8"/>
  <c r="F329" i="8"/>
  <c r="F321" i="8"/>
  <c r="F313" i="8"/>
  <c r="F305" i="8"/>
  <c r="F297" i="8"/>
  <c r="F289" i="8"/>
  <c r="F281" i="8"/>
  <c r="F273" i="8"/>
  <c r="F265" i="8"/>
  <c r="F257" i="8"/>
  <c r="F249" i="8"/>
  <c r="F241" i="8"/>
  <c r="F233" i="8"/>
  <c r="F225" i="8"/>
  <c r="F217" i="8"/>
  <c r="F209" i="8"/>
  <c r="F201" i="8"/>
  <c r="F193" i="8"/>
  <c r="F185" i="8"/>
  <c r="F177" i="8"/>
  <c r="F169" i="8"/>
  <c r="F161" i="8"/>
  <c r="F153" i="8"/>
  <c r="F145" i="8"/>
  <c r="F137" i="8"/>
  <c r="F129" i="8"/>
  <c r="F121" i="8"/>
  <c r="F113" i="8"/>
  <c r="F105" i="8"/>
  <c r="F97" i="8"/>
  <c r="F89" i="8"/>
  <c r="F81" i="8"/>
  <c r="F73" i="8"/>
  <c r="F65" i="8"/>
  <c r="F57" i="8"/>
  <c r="F49" i="8"/>
  <c r="F41" i="8"/>
  <c r="F33" i="8"/>
  <c r="F25" i="8"/>
  <c r="F17" i="8"/>
  <c r="F9" i="8"/>
  <c r="F710" i="8"/>
  <c r="F558" i="8"/>
  <c r="F510" i="8"/>
  <c r="F470" i="8"/>
  <c r="F430" i="8"/>
  <c r="F398" i="8"/>
  <c r="F358" i="8"/>
  <c r="F326" i="8"/>
  <c r="F286" i="8"/>
  <c r="F238" i="8"/>
  <c r="F198" i="8"/>
  <c r="F158" i="8"/>
  <c r="F118" i="8"/>
  <c r="F78" i="8"/>
  <c r="F30" i="8"/>
  <c r="F701" i="8"/>
  <c r="F669" i="8"/>
  <c r="F637" i="8"/>
  <c r="F605" i="8"/>
  <c r="F589" i="8"/>
  <c r="F557" i="8"/>
  <c r="F517" i="8"/>
  <c r="F477" i="8"/>
  <c r="F429" i="8"/>
  <c r="F389" i="8"/>
  <c r="F357" i="8"/>
  <c r="F317" i="8"/>
  <c r="F277" i="8"/>
  <c r="F736" i="8"/>
  <c r="F728" i="8"/>
  <c r="F720" i="8"/>
  <c r="F712" i="8"/>
  <c r="F704" i="8"/>
  <c r="F696" i="8"/>
  <c r="F688" i="8"/>
  <c r="F680" i="8"/>
  <c r="F672" i="8"/>
  <c r="F664" i="8"/>
  <c r="F656" i="8"/>
  <c r="F648" i="8"/>
  <c r="F640" i="8"/>
  <c r="F632" i="8"/>
  <c r="F624" i="8"/>
  <c r="F616" i="8"/>
  <c r="F608" i="8"/>
  <c r="F600" i="8"/>
  <c r="F592" i="8"/>
  <c r="F584" i="8"/>
  <c r="F576" i="8"/>
  <c r="F568" i="8"/>
  <c r="F560" i="8"/>
  <c r="F552" i="8"/>
  <c r="F544" i="8"/>
  <c r="F536" i="8"/>
  <c r="F528" i="8"/>
  <c r="F520" i="8"/>
  <c r="F512" i="8"/>
  <c r="F504" i="8"/>
  <c r="F496" i="8"/>
  <c r="F488" i="8"/>
  <c r="F480" i="8"/>
  <c r="F472" i="8"/>
  <c r="F464" i="8"/>
  <c r="F456" i="8"/>
  <c r="F448" i="8"/>
  <c r="F440" i="8"/>
  <c r="F432" i="8"/>
  <c r="F424" i="8"/>
  <c r="F416" i="8"/>
  <c r="F408" i="8"/>
  <c r="F400" i="8"/>
  <c r="F392" i="8"/>
  <c r="F384" i="8"/>
  <c r="F376" i="8"/>
  <c r="F368" i="8"/>
  <c r="F360" i="8"/>
  <c r="F352" i="8"/>
  <c r="F344" i="8"/>
  <c r="F336" i="8"/>
  <c r="F328" i="8"/>
  <c r="F320" i="8"/>
  <c r="F312" i="8"/>
  <c r="F304" i="8"/>
  <c r="F296" i="8"/>
  <c r="F288" i="8"/>
  <c r="F280" i="8"/>
  <c r="F272" i="8"/>
  <c r="F264" i="8"/>
  <c r="F256" i="8"/>
  <c r="F248" i="8"/>
  <c r="F240" i="8"/>
  <c r="F232" i="8"/>
  <c r="F224" i="8"/>
  <c r="F216" i="8"/>
  <c r="F208" i="8"/>
  <c r="F200" i="8"/>
  <c r="F192" i="8"/>
  <c r="F184" i="8"/>
  <c r="F176" i="8"/>
  <c r="F168" i="8"/>
  <c r="F160" i="8"/>
  <c r="F152" i="8"/>
  <c r="F144" i="8"/>
  <c r="F136" i="8"/>
  <c r="F128" i="8"/>
  <c r="F120" i="8"/>
  <c r="F112" i="8"/>
  <c r="F104" i="8"/>
  <c r="F96" i="8"/>
  <c r="F88" i="8"/>
  <c r="F80" i="8"/>
  <c r="F72" i="8"/>
  <c r="F64" i="8"/>
  <c r="F56" i="8"/>
  <c r="F48" i="8"/>
  <c r="F40" i="8"/>
  <c r="F32" i="8"/>
  <c r="F24" i="8"/>
  <c r="F16" i="8"/>
  <c r="F8" i="8"/>
  <c r="F734" i="8"/>
  <c r="F686" i="8"/>
  <c r="F670" i="8"/>
  <c r="F654" i="8"/>
  <c r="F638" i="8"/>
  <c r="F614" i="8"/>
  <c r="F598" i="8"/>
  <c r="F574" i="8"/>
  <c r="F542" i="8"/>
  <c r="F502" i="8"/>
  <c r="F462" i="8"/>
  <c r="F422" i="8"/>
  <c r="F382" i="8"/>
  <c r="F342" i="8"/>
  <c r="F302" i="8"/>
  <c r="F270" i="8"/>
  <c r="F246" i="8"/>
  <c r="F206" i="8"/>
  <c r="F166" i="8"/>
  <c r="F94" i="8"/>
  <c r="F62" i="8"/>
  <c r="F22" i="8"/>
  <c r="F733" i="8"/>
  <c r="F685" i="8"/>
  <c r="F653" i="8"/>
  <c r="F613" i="8"/>
  <c r="F565" i="8"/>
  <c r="F525" i="8"/>
  <c r="F493" i="8"/>
  <c r="F453" i="8"/>
  <c r="F413" i="8"/>
  <c r="F373" i="8"/>
  <c r="F341" i="8"/>
  <c r="F309" i="8"/>
  <c r="F735" i="8"/>
  <c r="F727" i="8"/>
  <c r="F719" i="8"/>
  <c r="F711" i="8"/>
  <c r="F703" i="8"/>
  <c r="F695" i="8"/>
  <c r="F687" i="8"/>
  <c r="F679" i="8"/>
  <c r="F671" i="8"/>
  <c r="F663" i="8"/>
  <c r="F655" i="8"/>
  <c r="F647" i="8"/>
  <c r="F639" i="8"/>
  <c r="F631" i="8"/>
  <c r="F623" i="8"/>
  <c r="F615" i="8"/>
  <c r="F607" i="8"/>
  <c r="F599" i="8"/>
  <c r="F591" i="8"/>
  <c r="F583" i="8"/>
  <c r="F575" i="8"/>
  <c r="F567" i="8"/>
  <c r="F559" i="8"/>
  <c r="F551" i="8"/>
  <c r="F543" i="8"/>
  <c r="F535" i="8"/>
  <c r="F527" i="8"/>
  <c r="F519" i="8"/>
  <c r="F511" i="8"/>
  <c r="F503" i="8"/>
  <c r="F495" i="8"/>
  <c r="F487" i="8"/>
  <c r="F479" i="8"/>
  <c r="F471" i="8"/>
  <c r="F463" i="8"/>
  <c r="F455" i="8"/>
  <c r="F447" i="8"/>
  <c r="F439" i="8"/>
  <c r="F431" i="8"/>
  <c r="F423" i="8"/>
  <c r="F415" i="8"/>
  <c r="F407" i="8"/>
  <c r="F399" i="8"/>
  <c r="F391" i="8"/>
  <c r="F383" i="8"/>
  <c r="F375" i="8"/>
  <c r="F367" i="8"/>
  <c r="F359" i="8"/>
  <c r="F351" i="8"/>
  <c r="F343" i="8"/>
  <c r="F335" i="8"/>
  <c r="F327" i="8"/>
  <c r="F319" i="8"/>
  <c r="F311" i="8"/>
  <c r="F303" i="8"/>
  <c r="F295" i="8"/>
  <c r="F287" i="8"/>
  <c r="F279" i="8"/>
  <c r="F271" i="8"/>
  <c r="F263" i="8"/>
  <c r="F255" i="8"/>
  <c r="F247" i="8"/>
  <c r="F239" i="8"/>
  <c r="F231" i="8"/>
  <c r="F223" i="8"/>
  <c r="F215" i="8"/>
  <c r="F207" i="8"/>
  <c r="F199" i="8"/>
  <c r="F191" i="8"/>
  <c r="F183" i="8"/>
  <c r="F175" i="8"/>
  <c r="F167" i="8"/>
  <c r="F159" i="8"/>
  <c r="F151" i="8"/>
  <c r="F143" i="8"/>
  <c r="F135" i="8"/>
  <c r="F127" i="8"/>
  <c r="F119" i="8"/>
  <c r="F111" i="8"/>
  <c r="F103" i="8"/>
  <c r="F95" i="8"/>
  <c r="F87" i="8"/>
  <c r="F79" i="8"/>
  <c r="F71" i="8"/>
  <c r="F63" i="8"/>
  <c r="F55" i="8"/>
  <c r="F47" i="8"/>
  <c r="F39" i="8"/>
  <c r="F31" i="8"/>
  <c r="F23" i="8"/>
  <c r="F15" i="8"/>
  <c r="F7" i="8"/>
  <c r="F718" i="8"/>
  <c r="F622" i="8"/>
  <c r="F582" i="8"/>
  <c r="F534" i="8"/>
  <c r="F486" i="8"/>
  <c r="F454" i="8"/>
  <c r="F414" i="8"/>
  <c r="F374" i="8"/>
  <c r="F334" i="8"/>
  <c r="F294" i="8"/>
  <c r="F230" i="8"/>
  <c r="F190" i="8"/>
  <c r="F126" i="8"/>
  <c r="F86" i="8"/>
  <c r="F54" i="8"/>
  <c r="F14" i="8"/>
  <c r="F717" i="8"/>
  <c r="F629" i="8"/>
  <c r="F549" i="8"/>
  <c r="F485" i="8"/>
  <c r="F445" i="8"/>
  <c r="F397" i="8"/>
  <c r="F333" i="8"/>
  <c r="F293" i="8"/>
  <c r="F731" i="8"/>
  <c r="F723" i="8"/>
  <c r="F715" i="8"/>
  <c r="F707" i="8"/>
  <c r="F699" i="8"/>
  <c r="F691" i="8"/>
  <c r="F683" i="8"/>
  <c r="F675" i="8"/>
  <c r="F667" i="8"/>
  <c r="F659" i="8"/>
  <c r="F651" i="8"/>
  <c r="F643" i="8"/>
  <c r="F635" i="8"/>
  <c r="F627" i="8"/>
  <c r="F619" i="8"/>
  <c r="F611" i="8"/>
  <c r="F603" i="8"/>
  <c r="F595" i="8"/>
  <c r="F587" i="8"/>
  <c r="F579" i="8"/>
  <c r="F571" i="8"/>
  <c r="F563" i="8"/>
  <c r="F555" i="8"/>
  <c r="F547" i="8"/>
  <c r="F539" i="8"/>
  <c r="F531" i="8"/>
  <c r="F523" i="8"/>
  <c r="F515" i="8"/>
  <c r="F507" i="8"/>
  <c r="F499" i="8"/>
  <c r="F491" i="8"/>
  <c r="F483" i="8"/>
  <c r="F475" i="8"/>
  <c r="F467" i="8"/>
  <c r="F459" i="8"/>
  <c r="F451" i="8"/>
  <c r="F443" i="8"/>
  <c r="F435" i="8"/>
  <c r="F427" i="8"/>
  <c r="F419" i="8"/>
  <c r="F411" i="8"/>
  <c r="F403" i="8"/>
  <c r="F395" i="8"/>
  <c r="F387" i="8"/>
  <c r="F379" i="8"/>
  <c r="F371" i="8"/>
  <c r="F363" i="8"/>
  <c r="F355" i="8"/>
  <c r="F347" i="8"/>
  <c r="F339" i="8"/>
  <c r="F331" i="8"/>
  <c r="F323" i="8"/>
  <c r="F315" i="8"/>
  <c r="F307" i="8"/>
  <c r="F299" i="8"/>
  <c r="F291" i="8"/>
  <c r="F283" i="8"/>
  <c r="F275" i="8"/>
  <c r="F267" i="8"/>
  <c r="F259" i="8"/>
  <c r="F251" i="8"/>
  <c r="F243" i="8"/>
  <c r="F235" i="8"/>
  <c r="F227" i="8"/>
  <c r="F219" i="8"/>
  <c r="F211" i="8"/>
  <c r="F203" i="8"/>
  <c r="F195" i="8"/>
  <c r="F187" i="8"/>
  <c r="F179" i="8"/>
  <c r="F171" i="8"/>
  <c r="F163" i="8"/>
  <c r="F155" i="8"/>
  <c r="F147" i="8"/>
  <c r="F139" i="8"/>
  <c r="F131" i="8"/>
  <c r="F123" i="8"/>
  <c r="F115" i="8"/>
  <c r="F107" i="8"/>
  <c r="F99" i="8"/>
  <c r="F91" i="8"/>
  <c r="F83" i="8"/>
  <c r="F75" i="8"/>
  <c r="F67" i="8"/>
  <c r="F59" i="8"/>
  <c r="F51" i="8"/>
  <c r="F43" i="8"/>
  <c r="F27" i="8"/>
  <c r="F19" i="8"/>
  <c r="F11" i="8"/>
  <c r="F726" i="8"/>
  <c r="F694" i="8"/>
  <c r="F678" i="8"/>
  <c r="F662" i="8"/>
  <c r="F646" i="8"/>
  <c r="F630" i="8"/>
  <c r="F606" i="8"/>
  <c r="F590" i="8"/>
  <c r="F550" i="8"/>
  <c r="F526" i="8"/>
  <c r="F494" i="8"/>
  <c r="F446" i="8"/>
  <c r="F390" i="8"/>
  <c r="F350" i="8"/>
  <c r="F318" i="8"/>
  <c r="F278" i="8"/>
  <c r="F254" i="8"/>
  <c r="F214" i="8"/>
  <c r="F174" i="8"/>
  <c r="F142" i="8"/>
  <c r="F102" i="8"/>
  <c r="F46" i="8"/>
  <c r="F6" i="8"/>
  <c r="F725" i="8"/>
  <c r="F693" i="8"/>
  <c r="F661" i="8"/>
  <c r="F621" i="8"/>
  <c r="F581" i="8"/>
  <c r="F533" i="8"/>
  <c r="F501" i="8"/>
  <c r="F461" i="8"/>
  <c r="F421" i="8"/>
  <c r="F381" i="8"/>
  <c r="F349" i="8"/>
  <c r="F301" i="8"/>
  <c r="F732" i="8"/>
  <c r="F668" i="8"/>
  <c r="F604" i="8"/>
  <c r="F540" i="8"/>
  <c r="F476" i="8"/>
  <c r="F412" i="8"/>
  <c r="F348" i="8"/>
  <c r="F284" i="8"/>
  <c r="F213" i="8"/>
  <c r="F181" i="8"/>
  <c r="F149" i="8"/>
  <c r="F117" i="8"/>
  <c r="F85" i="8"/>
  <c r="F53" i="8"/>
  <c r="F21" i="8"/>
  <c r="F372" i="8"/>
  <c r="F724" i="8"/>
  <c r="F660" i="8"/>
  <c r="F596" i="8"/>
  <c r="F532" i="8"/>
  <c r="F468" i="8"/>
  <c r="F404" i="8"/>
  <c r="F340" i="8"/>
  <c r="F276" i="8"/>
  <c r="F244" i="8"/>
  <c r="F212" i="8"/>
  <c r="F180" i="8"/>
  <c r="F148" i="8"/>
  <c r="F116" i="8"/>
  <c r="F84" i="8"/>
  <c r="F52" i="8"/>
  <c r="F20" i="8"/>
  <c r="F237" i="8"/>
  <c r="F628" i="8"/>
  <c r="F228" i="8"/>
  <c r="F132" i="8"/>
  <c r="F684" i="8"/>
  <c r="F428" i="8"/>
  <c r="F300" i="8"/>
  <c r="F221" i="8"/>
  <c r="F157" i="8"/>
  <c r="F61" i="8"/>
  <c r="F716" i="8"/>
  <c r="F652" i="8"/>
  <c r="F588" i="8"/>
  <c r="F524" i="8"/>
  <c r="F460" i="8"/>
  <c r="F396" i="8"/>
  <c r="F332" i="8"/>
  <c r="F269" i="8"/>
  <c r="F205" i="8"/>
  <c r="F173" i="8"/>
  <c r="F141" i="8"/>
  <c r="F109" i="8"/>
  <c r="F77" i="8"/>
  <c r="F45" i="8"/>
  <c r="F13" i="8"/>
  <c r="F436" i="8"/>
  <c r="F708" i="8"/>
  <c r="F644" i="8"/>
  <c r="F580" i="8"/>
  <c r="F516" i="8"/>
  <c r="F452" i="8"/>
  <c r="F388" i="8"/>
  <c r="F324" i="8"/>
  <c r="F268" i="8"/>
  <c r="F236" i="8"/>
  <c r="F204" i="8"/>
  <c r="F172" i="8"/>
  <c r="F140" i="8"/>
  <c r="F108" i="8"/>
  <c r="F76" i="8"/>
  <c r="F44" i="8"/>
  <c r="F12" i="8"/>
  <c r="F700" i="8"/>
  <c r="F636" i="8"/>
  <c r="F572" i="8"/>
  <c r="F508" i="8"/>
  <c r="F444" i="8"/>
  <c r="F380" i="8"/>
  <c r="F316" i="8"/>
  <c r="F261" i="8"/>
  <c r="F229" i="8"/>
  <c r="F197" i="8"/>
  <c r="F165" i="8"/>
  <c r="F133" i="8"/>
  <c r="F101" i="8"/>
  <c r="F69" i="8"/>
  <c r="F37" i="8"/>
  <c r="F5" i="8"/>
  <c r="F692" i="8"/>
  <c r="F500" i="8"/>
  <c r="F308" i="8"/>
  <c r="F196" i="8"/>
  <c r="F100" i="8"/>
  <c r="F4" i="8"/>
  <c r="F556" i="8"/>
  <c r="F125" i="8"/>
  <c r="F676" i="8"/>
  <c r="F612" i="8"/>
  <c r="F548" i="8"/>
  <c r="F484" i="8"/>
  <c r="F420" i="8"/>
  <c r="F356" i="8"/>
  <c r="F292" i="8"/>
  <c r="F252" i="8"/>
  <c r="F188" i="8"/>
  <c r="F156" i="8"/>
  <c r="F124" i="8"/>
  <c r="F92" i="8"/>
  <c r="F60" i="8"/>
  <c r="F28" i="8"/>
  <c r="F245" i="8"/>
  <c r="F564" i="8"/>
  <c r="F260" i="8"/>
  <c r="F164" i="8"/>
  <c r="F68" i="8"/>
  <c r="F620" i="8"/>
  <c r="F492" i="8"/>
  <c r="F364" i="8"/>
  <c r="F253" i="8"/>
  <c r="F189" i="8"/>
  <c r="F93" i="8"/>
  <c r="F29" i="8"/>
  <c r="F35" i="8"/>
  <c r="F36" i="8"/>
  <c r="G36" i="8" l="1"/>
  <c r="G6" i="8"/>
  <c r="G5" i="8"/>
  <c r="G220" i="8"/>
  <c r="G2" i="8"/>
  <c r="G29" i="8"/>
  <c r="G93" i="8"/>
  <c r="G189" i="8"/>
  <c r="G253" i="8"/>
  <c r="G364" i="8"/>
  <c r="G492" i="8"/>
  <c r="G620" i="8"/>
  <c r="G68" i="8"/>
  <c r="G164" i="8"/>
  <c r="G260" i="8"/>
  <c r="G564" i="8"/>
  <c r="G245" i="8"/>
  <c r="G28" i="8"/>
  <c r="G60" i="8"/>
  <c r="G92" i="8"/>
  <c r="G124" i="8"/>
  <c r="G156" i="8"/>
  <c r="G188" i="8"/>
  <c r="G252" i="8"/>
  <c r="G292" i="8"/>
  <c r="G356" i="8"/>
  <c r="G420" i="8"/>
  <c r="G484" i="8"/>
  <c r="G548" i="8"/>
  <c r="G612" i="8"/>
  <c r="G676" i="8"/>
  <c r="G125" i="8"/>
  <c r="G556" i="8"/>
  <c r="G4" i="8"/>
  <c r="G100" i="8"/>
  <c r="G196" i="8"/>
  <c r="G308" i="8"/>
  <c r="G500" i="8"/>
  <c r="G692" i="8"/>
  <c r="G37" i="8"/>
  <c r="G69" i="8"/>
  <c r="G101" i="8"/>
  <c r="G133" i="8"/>
  <c r="G165" i="8"/>
  <c r="G197" i="8"/>
  <c r="G229" i="8"/>
  <c r="G261" i="8"/>
  <c r="G316" i="8"/>
  <c r="G380" i="8"/>
  <c r="G444" i="8"/>
  <c r="G508" i="8"/>
  <c r="G572" i="8"/>
  <c r="G636" i="8"/>
  <c r="G700" i="8"/>
  <c r="G12" i="8"/>
  <c r="G44" i="8"/>
  <c r="G76" i="8"/>
  <c r="G108" i="8"/>
  <c r="G140" i="8"/>
  <c r="G172" i="8"/>
  <c r="G204" i="8"/>
  <c r="G236" i="8"/>
  <c r="G268" i="8"/>
  <c r="G324" i="8"/>
  <c r="G388" i="8"/>
  <c r="G452" i="8"/>
  <c r="G516" i="8"/>
  <c r="G580" i="8"/>
  <c r="G644" i="8"/>
  <c r="G708" i="8"/>
  <c r="G436" i="8"/>
  <c r="G13" i="8"/>
  <c r="G45" i="8"/>
  <c r="G77" i="8"/>
  <c r="G109" i="8"/>
  <c r="G141" i="8"/>
  <c r="G173" i="8"/>
  <c r="G205" i="8"/>
  <c r="G269" i="8"/>
  <c r="G332" i="8"/>
  <c r="G396" i="8"/>
  <c r="G460" i="8"/>
  <c r="G524" i="8"/>
  <c r="G588" i="8"/>
  <c r="G652" i="8"/>
  <c r="G716" i="8"/>
  <c r="G61" i="8"/>
  <c r="G157" i="8"/>
  <c r="G221" i="8"/>
  <c r="G300" i="8"/>
  <c r="G428" i="8"/>
  <c r="G684" i="8"/>
  <c r="G132" i="8"/>
  <c r="G228" i="8"/>
  <c r="G628" i="8"/>
  <c r="G237" i="8"/>
  <c r="G20" i="8"/>
  <c r="G52" i="8"/>
  <c r="G84" i="8"/>
  <c r="G116" i="8"/>
  <c r="G148" i="8"/>
  <c r="G180" i="8"/>
  <c r="G212" i="8"/>
  <c r="G244" i="8"/>
  <c r="G276" i="8"/>
  <c r="G340" i="8"/>
  <c r="G404" i="8"/>
  <c r="G468" i="8"/>
  <c r="G532" i="8"/>
  <c r="G596" i="8"/>
  <c r="G660" i="8"/>
  <c r="G724" i="8"/>
  <c r="G372" i="8"/>
  <c r="G21" i="8"/>
  <c r="G53" i="8"/>
  <c r="G85" i="8"/>
  <c r="G117" i="8"/>
  <c r="G149" i="8"/>
  <c r="G181" i="8"/>
  <c r="G213" i="8"/>
  <c r="G284" i="8"/>
  <c r="G348" i="8"/>
  <c r="G412" i="8"/>
  <c r="G476" i="8"/>
  <c r="G540" i="8"/>
  <c r="G604" i="8"/>
  <c r="G668" i="8"/>
  <c r="G732" i="8"/>
  <c r="G301" i="8"/>
  <c r="G349" i="8"/>
  <c r="G381" i="8"/>
  <c r="G421" i="8"/>
  <c r="G461" i="8"/>
  <c r="G501" i="8"/>
  <c r="G533" i="8"/>
  <c r="G581" i="8"/>
  <c r="G621" i="8"/>
  <c r="G661" i="8"/>
  <c r="G693" i="8"/>
  <c r="G725" i="8"/>
  <c r="G46" i="8"/>
  <c r="G102" i="8"/>
  <c r="G142" i="8"/>
  <c r="G174" i="8"/>
  <c r="G214" i="8"/>
  <c r="G254" i="8"/>
  <c r="G278" i="8"/>
  <c r="G318" i="8"/>
  <c r="G350" i="8"/>
  <c r="G390" i="8"/>
  <c r="G446" i="8"/>
  <c r="G494" i="8"/>
  <c r="G526" i="8"/>
  <c r="G550" i="8"/>
  <c r="G590" i="8"/>
  <c r="G606" i="8"/>
  <c r="G630" i="8"/>
  <c r="G646" i="8"/>
  <c r="G662" i="8"/>
  <c r="G678" i="8"/>
  <c r="G694" i="8"/>
  <c r="G726" i="8"/>
  <c r="G3" i="8"/>
  <c r="G11" i="8"/>
  <c r="G19" i="8"/>
  <c r="G27" i="8"/>
  <c r="G35" i="8"/>
  <c r="G43" i="8"/>
  <c r="G51" i="8"/>
  <c r="G59" i="8"/>
  <c r="G67" i="8"/>
  <c r="G75" i="8"/>
  <c r="G83" i="8"/>
  <c r="G91" i="8"/>
  <c r="G99" i="8"/>
  <c r="G107" i="8"/>
  <c r="G115" i="8"/>
  <c r="G123" i="8"/>
  <c r="G131" i="8"/>
  <c r="G139" i="8"/>
  <c r="G147" i="8"/>
  <c r="G155" i="8"/>
  <c r="G163" i="8"/>
  <c r="G171" i="8"/>
  <c r="G179" i="8"/>
  <c r="G187" i="8"/>
  <c r="G195" i="8"/>
  <c r="G203" i="8"/>
  <c r="G211" i="8"/>
  <c r="G219" i="8"/>
  <c r="G227" i="8"/>
  <c r="G235" i="8"/>
  <c r="G243" i="8"/>
  <c r="G251" i="8"/>
  <c r="G259" i="8"/>
  <c r="G267" i="8"/>
  <c r="G275" i="8"/>
  <c r="G283" i="8"/>
  <c r="G291" i="8"/>
  <c r="G299" i="8"/>
  <c r="G307" i="8"/>
  <c r="G315" i="8"/>
  <c r="G323" i="8"/>
  <c r="G331" i="8"/>
  <c r="G339" i="8"/>
  <c r="G347" i="8"/>
  <c r="G355" i="8"/>
  <c r="G363" i="8"/>
  <c r="G371" i="8"/>
  <c r="G379" i="8"/>
  <c r="G387" i="8"/>
  <c r="G395" i="8"/>
  <c r="G403" i="8"/>
  <c r="G411" i="8"/>
  <c r="G419" i="8"/>
  <c r="G427" i="8"/>
  <c r="G435" i="8"/>
  <c r="G443" i="8"/>
  <c r="G451" i="8"/>
  <c r="G459" i="8"/>
  <c r="G467" i="8"/>
  <c r="G475" i="8"/>
  <c r="G483" i="8"/>
  <c r="G491" i="8"/>
  <c r="G499" i="8"/>
  <c r="G507" i="8"/>
  <c r="G515" i="8"/>
  <c r="G523" i="8"/>
  <c r="G531" i="8"/>
  <c r="G539" i="8"/>
  <c r="G547" i="8"/>
  <c r="G555" i="8"/>
  <c r="G563" i="8"/>
  <c r="G571" i="8"/>
  <c r="G579" i="8"/>
  <c r="G587" i="8"/>
  <c r="G595" i="8"/>
  <c r="G603" i="8"/>
  <c r="G611" i="8"/>
  <c r="G619" i="8"/>
  <c r="G627" i="8"/>
  <c r="G635" i="8"/>
  <c r="G643" i="8"/>
  <c r="G651" i="8"/>
  <c r="G659" i="8"/>
  <c r="G667" i="8"/>
  <c r="G675" i="8"/>
  <c r="G683" i="8"/>
  <c r="G691" i="8"/>
  <c r="G699" i="8"/>
  <c r="G707" i="8"/>
  <c r="G715" i="8"/>
  <c r="G723" i="8"/>
  <c r="G731" i="8"/>
  <c r="G293" i="8"/>
  <c r="G333" i="8"/>
  <c r="G397" i="8"/>
  <c r="G445" i="8"/>
  <c r="G485" i="8"/>
  <c r="G549" i="8"/>
  <c r="G629" i="8"/>
  <c r="G717" i="8"/>
  <c r="G14" i="8"/>
  <c r="G54" i="8"/>
  <c r="G86" i="8"/>
  <c r="G126" i="8"/>
  <c r="G190" i="8"/>
  <c r="G230" i="8"/>
  <c r="G294" i="8"/>
  <c r="G334" i="8"/>
  <c r="G374" i="8"/>
  <c r="G414" i="8"/>
  <c r="G454" i="8"/>
  <c r="G486" i="8"/>
  <c r="G534" i="8"/>
  <c r="G582" i="8"/>
  <c r="G622" i="8"/>
  <c r="G718" i="8"/>
  <c r="G7" i="8"/>
  <c r="G15" i="8"/>
  <c r="G23" i="8"/>
  <c r="G31" i="8"/>
  <c r="G39" i="8"/>
  <c r="G47" i="8"/>
  <c r="G55" i="8"/>
  <c r="G63" i="8"/>
  <c r="G71" i="8"/>
  <c r="G79" i="8"/>
  <c r="G87" i="8"/>
  <c r="G95" i="8"/>
  <c r="G103" i="8"/>
  <c r="G111" i="8"/>
  <c r="G119" i="8"/>
  <c r="G127" i="8"/>
  <c r="G135" i="8"/>
  <c r="G143" i="8"/>
  <c r="G151" i="8"/>
  <c r="G159" i="8"/>
  <c r="G167" i="8"/>
  <c r="G175" i="8"/>
  <c r="G183" i="8"/>
  <c r="G191" i="8"/>
  <c r="G199" i="8"/>
  <c r="G207" i="8"/>
  <c r="G215" i="8"/>
  <c r="G223" i="8"/>
  <c r="G231" i="8"/>
  <c r="G239" i="8"/>
  <c r="G247" i="8"/>
  <c r="G255" i="8"/>
  <c r="G263" i="8"/>
  <c r="G271" i="8"/>
  <c r="G279" i="8"/>
  <c r="G287" i="8"/>
  <c r="G295" i="8"/>
  <c r="G303" i="8"/>
  <c r="G311" i="8"/>
  <c r="G319" i="8"/>
  <c r="G327" i="8"/>
  <c r="G335" i="8"/>
  <c r="G343" i="8"/>
  <c r="G351" i="8"/>
  <c r="G359" i="8"/>
  <c r="G367" i="8"/>
  <c r="G375" i="8"/>
  <c r="G383" i="8"/>
  <c r="G391" i="8"/>
  <c r="G399" i="8"/>
  <c r="G407" i="8"/>
  <c r="G415" i="8"/>
  <c r="G423" i="8"/>
  <c r="G431" i="8"/>
  <c r="G439" i="8"/>
  <c r="G447" i="8"/>
  <c r="G455" i="8"/>
  <c r="G463" i="8"/>
  <c r="G471" i="8"/>
  <c r="G479" i="8"/>
  <c r="G487" i="8"/>
  <c r="G495" i="8"/>
  <c r="G503" i="8"/>
  <c r="G511" i="8"/>
  <c r="G519" i="8"/>
  <c r="G527" i="8"/>
  <c r="G535" i="8"/>
  <c r="G543" i="8"/>
  <c r="G551" i="8"/>
  <c r="G559" i="8"/>
  <c r="G567" i="8"/>
  <c r="G575" i="8"/>
  <c r="G583" i="8"/>
  <c r="G591" i="8"/>
  <c r="G599" i="8"/>
  <c r="G607" i="8"/>
  <c r="G615" i="8"/>
  <c r="G623" i="8"/>
  <c r="G631" i="8"/>
  <c r="G639" i="8"/>
  <c r="G647" i="8"/>
  <c r="G655" i="8"/>
  <c r="G663" i="8"/>
  <c r="G671" i="8"/>
  <c r="G679" i="8"/>
  <c r="G687" i="8"/>
  <c r="G695" i="8"/>
  <c r="G703" i="8"/>
  <c r="G711" i="8"/>
  <c r="G719" i="8"/>
  <c r="G727" i="8"/>
  <c r="G735" i="8"/>
  <c r="G309" i="8"/>
  <c r="G341" i="8"/>
  <c r="G373" i="8"/>
  <c r="G413" i="8"/>
  <c r="G453" i="8"/>
  <c r="G493" i="8"/>
  <c r="G525" i="8"/>
  <c r="G565" i="8"/>
  <c r="G613" i="8"/>
  <c r="G653" i="8"/>
  <c r="G685" i="8"/>
  <c r="G733" i="8"/>
  <c r="G22" i="8"/>
  <c r="G62" i="8"/>
  <c r="G94" i="8"/>
  <c r="G134" i="8"/>
  <c r="G166" i="8"/>
  <c r="G206" i="8"/>
  <c r="G246" i="8"/>
  <c r="G270" i="8"/>
  <c r="G302" i="8"/>
  <c r="G342" i="8"/>
  <c r="G382" i="8"/>
  <c r="G422" i="8"/>
  <c r="G462" i="8"/>
  <c r="G502" i="8"/>
  <c r="G542" i="8"/>
  <c r="G574" i="8"/>
  <c r="G598" i="8"/>
  <c r="G614" i="8"/>
  <c r="G638" i="8"/>
  <c r="G654" i="8"/>
  <c r="G670" i="8"/>
  <c r="G686" i="8"/>
  <c r="G734" i="8"/>
  <c r="G8" i="8"/>
  <c r="G16" i="8"/>
  <c r="G24" i="8"/>
  <c r="G32" i="8"/>
  <c r="G40" i="8"/>
  <c r="G48" i="8"/>
  <c r="G56" i="8"/>
  <c r="G64" i="8"/>
  <c r="G72" i="8"/>
  <c r="G80" i="8"/>
  <c r="G88" i="8"/>
  <c r="G96" i="8"/>
  <c r="G104" i="8"/>
  <c r="G112" i="8"/>
  <c r="G120" i="8"/>
  <c r="G128" i="8"/>
  <c r="G136" i="8"/>
  <c r="G144" i="8"/>
  <c r="G152" i="8"/>
  <c r="G160" i="8"/>
  <c r="G168" i="8"/>
  <c r="G176" i="8"/>
  <c r="G184" i="8"/>
  <c r="G192" i="8"/>
  <c r="G200" i="8"/>
  <c r="G208" i="8"/>
  <c r="G216" i="8"/>
  <c r="G224" i="8"/>
  <c r="G232" i="8"/>
  <c r="G240" i="8"/>
  <c r="G248" i="8"/>
  <c r="G256" i="8"/>
  <c r="G264" i="8"/>
  <c r="G272" i="8"/>
  <c r="G280" i="8"/>
  <c r="G288" i="8"/>
  <c r="G296" i="8"/>
  <c r="G304" i="8"/>
  <c r="G312" i="8"/>
  <c r="G320" i="8"/>
  <c r="G328" i="8"/>
  <c r="G336" i="8"/>
  <c r="G344" i="8"/>
  <c r="G352" i="8"/>
  <c r="G360" i="8"/>
  <c r="G368" i="8"/>
  <c r="G376" i="8"/>
  <c r="G384" i="8"/>
  <c r="G392" i="8"/>
  <c r="G400" i="8"/>
  <c r="G408" i="8"/>
  <c r="G416" i="8"/>
  <c r="G424" i="8"/>
  <c r="G432" i="8"/>
  <c r="G440" i="8"/>
  <c r="G448" i="8"/>
  <c r="G456" i="8"/>
  <c r="G464" i="8"/>
  <c r="G472" i="8"/>
  <c r="G480" i="8"/>
  <c r="G488" i="8"/>
  <c r="G496" i="8"/>
  <c r="G504" i="8"/>
  <c r="G512" i="8"/>
  <c r="G520" i="8"/>
  <c r="G528" i="8"/>
  <c r="G536" i="8"/>
  <c r="G544" i="8"/>
  <c r="G552" i="8"/>
  <c r="G560" i="8"/>
  <c r="G568" i="8"/>
  <c r="G576" i="8"/>
  <c r="G584" i="8"/>
  <c r="G592" i="8"/>
  <c r="G600" i="8"/>
  <c r="G608" i="8"/>
  <c r="G616" i="8"/>
  <c r="G624" i="8"/>
  <c r="G632" i="8"/>
  <c r="G640" i="8"/>
  <c r="G648" i="8"/>
  <c r="G656" i="8"/>
  <c r="G664" i="8"/>
  <c r="G672" i="8"/>
  <c r="G680" i="8"/>
  <c r="G688" i="8"/>
  <c r="G696" i="8"/>
  <c r="G704" i="8"/>
  <c r="G712" i="8"/>
  <c r="G720" i="8"/>
  <c r="G728" i="8"/>
  <c r="G736" i="8"/>
  <c r="G277" i="8"/>
  <c r="G317" i="8"/>
  <c r="G357" i="8"/>
  <c r="G389" i="8"/>
  <c r="G429" i="8"/>
  <c r="G477" i="8"/>
  <c r="G517" i="8"/>
  <c r="G557" i="8"/>
  <c r="G589" i="8"/>
  <c r="G605" i="8"/>
  <c r="G637" i="8"/>
  <c r="G669" i="8"/>
  <c r="G701" i="8"/>
  <c r="G30" i="8"/>
  <c r="G78" i="8"/>
  <c r="G118" i="8"/>
  <c r="G158" i="8"/>
  <c r="G198" i="8"/>
  <c r="G238" i="8"/>
  <c r="G286" i="8"/>
  <c r="G326" i="8"/>
  <c r="G358" i="8"/>
  <c r="G398" i="8"/>
  <c r="G430" i="8"/>
  <c r="G470" i="8"/>
  <c r="G510" i="8"/>
  <c r="G558" i="8"/>
  <c r="G710" i="8"/>
  <c r="G9" i="8"/>
  <c r="G17" i="8"/>
  <c r="G25" i="8"/>
  <c r="G33" i="8"/>
  <c r="G41" i="8"/>
  <c r="G49" i="8"/>
  <c r="G57" i="8"/>
  <c r="G65" i="8"/>
  <c r="G73" i="8"/>
  <c r="G81" i="8"/>
  <c r="G89" i="8"/>
  <c r="G97" i="8"/>
  <c r="G105" i="8"/>
  <c r="G113" i="8"/>
  <c r="G121" i="8"/>
  <c r="G129" i="8"/>
  <c r="G137" i="8"/>
  <c r="G145" i="8"/>
  <c r="G153" i="8"/>
  <c r="G161" i="8"/>
  <c r="G169" i="8"/>
  <c r="G177" i="8"/>
  <c r="G185" i="8"/>
  <c r="G193" i="8"/>
  <c r="G201" i="8"/>
  <c r="G209" i="8"/>
  <c r="G217" i="8"/>
  <c r="G225" i="8"/>
  <c r="G233" i="8"/>
  <c r="G241" i="8"/>
  <c r="G249" i="8"/>
  <c r="G257" i="8"/>
  <c r="G265" i="8"/>
  <c r="G273" i="8"/>
  <c r="G281" i="8"/>
  <c r="G289" i="8"/>
  <c r="G297" i="8"/>
  <c r="G305" i="8"/>
  <c r="G313" i="8"/>
  <c r="G321" i="8"/>
  <c r="G329" i="8"/>
  <c r="G337" i="8"/>
  <c r="G345" i="8"/>
  <c r="G353" i="8"/>
  <c r="G361" i="8"/>
  <c r="G369" i="8"/>
  <c r="G377" i="8"/>
  <c r="G385" i="8"/>
  <c r="G393" i="8"/>
  <c r="G401" i="8"/>
  <c r="G409" i="8"/>
  <c r="G417" i="8"/>
  <c r="G425" i="8"/>
  <c r="G433" i="8"/>
  <c r="G441" i="8"/>
  <c r="G449" i="8"/>
  <c r="G457" i="8"/>
  <c r="G465" i="8"/>
  <c r="G473" i="8"/>
  <c r="G481" i="8"/>
  <c r="G489" i="8"/>
  <c r="G497" i="8"/>
  <c r="G505" i="8"/>
  <c r="G513" i="8"/>
  <c r="G521" i="8"/>
  <c r="G529" i="8"/>
  <c r="G537" i="8"/>
  <c r="G545" i="8"/>
  <c r="G553" i="8"/>
  <c r="G561" i="8"/>
  <c r="G569" i="8"/>
  <c r="G577" i="8"/>
  <c r="G585" i="8"/>
  <c r="G593" i="8"/>
  <c r="G601" i="8"/>
  <c r="G609" i="8"/>
  <c r="G617" i="8"/>
  <c r="G625" i="8"/>
  <c r="G633" i="8"/>
  <c r="G641" i="8"/>
  <c r="G649" i="8"/>
  <c r="G657" i="8"/>
  <c r="G665" i="8"/>
  <c r="G673" i="8"/>
  <c r="G681" i="8"/>
  <c r="G689" i="8"/>
  <c r="G697" i="8"/>
  <c r="G705" i="8"/>
  <c r="G713" i="8"/>
  <c r="G721" i="8"/>
  <c r="G729" i="8"/>
  <c r="G737" i="8"/>
  <c r="G285" i="8"/>
  <c r="G325" i="8"/>
  <c r="G365" i="8"/>
  <c r="G405" i="8"/>
  <c r="G437" i="8"/>
  <c r="G469" i="8"/>
  <c r="G509" i="8"/>
  <c r="G541" i="8"/>
  <c r="G573" i="8"/>
  <c r="G597" i="8"/>
  <c r="G645" i="8"/>
  <c r="G677" i="8"/>
  <c r="G709" i="8"/>
  <c r="G38" i="8"/>
  <c r="G70" i="8"/>
  <c r="G110" i="8"/>
  <c r="G150" i="8"/>
  <c r="G182" i="8"/>
  <c r="G222" i="8"/>
  <c r="G262" i="8"/>
  <c r="G310" i="8"/>
  <c r="G366" i="8"/>
  <c r="G406" i="8"/>
  <c r="G438" i="8"/>
  <c r="G478" i="8"/>
  <c r="G518" i="8"/>
  <c r="G566" i="8"/>
  <c r="G702" i="8"/>
  <c r="G10" i="8"/>
  <c r="G18" i="8"/>
  <c r="G26" i="8"/>
  <c r="G34" i="8"/>
  <c r="G42" i="8"/>
  <c r="G50" i="8"/>
  <c r="G58" i="8"/>
  <c r="G66" i="8"/>
  <c r="G74" i="8"/>
  <c r="G82" i="8"/>
  <c r="G90" i="8"/>
  <c r="G98" i="8"/>
  <c r="G106" i="8"/>
  <c r="G114" i="8"/>
  <c r="G122" i="8"/>
  <c r="G130" i="8"/>
  <c r="G138" i="8"/>
  <c r="G146" i="8"/>
  <c r="G154" i="8"/>
  <c r="G162" i="8"/>
  <c r="G170" i="8"/>
  <c r="G178" i="8"/>
  <c r="G186" i="8"/>
  <c r="G194" i="8"/>
  <c r="G202" i="8"/>
  <c r="G210" i="8"/>
  <c r="G218" i="8"/>
  <c r="G226" i="8"/>
  <c r="G234" i="8"/>
  <c r="G242" i="8"/>
  <c r="G250" i="8"/>
  <c r="G258" i="8"/>
  <c r="G266" i="8"/>
  <c r="G274" i="8"/>
  <c r="G282" i="8"/>
  <c r="G290" i="8"/>
  <c r="G298" i="8"/>
  <c r="G306" i="8"/>
  <c r="G314" i="8"/>
  <c r="G322" i="8"/>
  <c r="G330" i="8"/>
  <c r="G338" i="8"/>
  <c r="G346" i="8"/>
  <c r="G354" i="8"/>
  <c r="G362" i="8"/>
  <c r="G370" i="8"/>
  <c r="G378" i="8"/>
  <c r="G386" i="8"/>
  <c r="G394" i="8"/>
  <c r="G402" i="8"/>
  <c r="G410" i="8"/>
  <c r="G418" i="8"/>
  <c r="G426" i="8"/>
  <c r="G434" i="8"/>
  <c r="G442" i="8"/>
  <c r="G450" i="8"/>
  <c r="G458" i="8"/>
  <c r="G466" i="8"/>
  <c r="G474" i="8"/>
  <c r="G482" i="8"/>
  <c r="G490" i="8"/>
  <c r="G498" i="8"/>
  <c r="G506" i="8"/>
  <c r="G514" i="8"/>
  <c r="G522" i="8"/>
  <c r="G530" i="8"/>
  <c r="G538" i="8"/>
  <c r="G546" i="8"/>
  <c r="G554" i="8"/>
  <c r="G562" i="8"/>
  <c r="G570" i="8"/>
  <c r="G578" i="8"/>
  <c r="G586" i="8"/>
  <c r="G594" i="8"/>
  <c r="G602" i="8"/>
  <c r="G610" i="8"/>
  <c r="G618" i="8"/>
  <c r="G626" i="8"/>
  <c r="G634" i="8"/>
  <c r="G642" i="8"/>
  <c r="G650" i="8"/>
  <c r="G658" i="8"/>
  <c r="G666" i="8"/>
  <c r="G674" i="8"/>
  <c r="G682" i="8"/>
  <c r="G690" i="8"/>
  <c r="G698" i="8"/>
  <c r="G706" i="8"/>
  <c r="G714" i="8"/>
  <c r="G722" i="8"/>
  <c r="G730" i="8"/>
  <c r="G738" i="8"/>
  <c r="O8" i="1"/>
  <c r="P8" i="1" s="1"/>
</calcChain>
</file>

<file path=xl/connections.xml><?xml version="1.0" encoding="utf-8"?>
<connections xmlns="http://schemas.openxmlformats.org/spreadsheetml/2006/main">
  <connection id="1" name="Connection" type="4" refreshedVersion="6" background="1" saveData="1">
    <webPr sourceData="1" parsePre="1" consecutive="1" xl2000="1" url="https://fantasydata.com/nfl-stats/fantasy-football-weekly-projections.aspx?fs=0&amp;stype=0&amp;sn=0&amp;scope=0&amp;w=0&amp;ew=0&amp;s=&amp;t=1&amp;p=1&amp;st=FantasyPointsPPR&amp;d=1&amp;ls=&amp;live=false&amp;pid=true&amp;minsnaps=4"/>
  </connection>
  <connection id="2" name="Connection1" type="4" refreshedVersion="6" background="1" saveData="1">
    <webPr sourceData="1" parsePre="1" consecutive="1" xl2000="1" url="https://fantasydata.com/nfl-stats/fantasy-football-weekly-projections.aspx?fs=0&amp;stype=0&amp;sn=0&amp;scope=0&amp;w=0&amp;ew=0&amp;s=&amp;t=1&amp;p=1&amp;st=FantasyPointsPPR&amp;d=1&amp;ls=&amp;live=false&amp;pid=true&amp;minsnaps=4"/>
  </connection>
  <connection id="3" name="Connection10" type="4" refreshedVersion="6" background="1" saveData="1">
    <webPr sourceData="1" parsePre="1" consecutive="1" xl2000="1" url="https://fantasydata.com/nfl-stats/fantasy-football-weekly-projections.aspx?fs=0&amp;stype=0&amp;sn=0&amp;scope=0&amp;w=0&amp;ew=0&amp;s=&amp;t=25&amp;p=5&amp;st=FantasyPoints&amp;d=1&amp;ls=&amp;live=false&amp;pid=true&amp;minsnaps=4"/>
  </connection>
  <connection id="4" name="Connection100" type="4" refreshedVersion="6" background="1" saveData="1">
    <webPr sourceData="1" parsePre="1" consecutive="1" xl2000="1" url="https://fantasydata.com/nfl-stats/fantasy-football-weekly-projections.aspx?fs=0&amp;stype=0&amp;sn=0&amp;scope=0&amp;w=0&amp;ew=0&amp;s=&amp;t=11&amp;p=2&amp;st=FantasyPointsPPR&amp;d=1&amp;ls=&amp;live=false&amp;pid=true&amp;minsnaps=4"/>
  </connection>
  <connection id="5" name="Connection101" type="4" refreshedVersion="6" background="1" saveData="1">
    <webPr sourceData="1" parsePre="1" consecutive="1" xl2000="1" url="https://fantasydata.com/nfl-stats/fantasy-football-weekly-projections.aspx?fs=0&amp;stype=0&amp;sn=0&amp;scope=0&amp;w=0&amp;ew=0&amp;s=&amp;t=12&amp;p=2&amp;st=FantasyPointsPPR&amp;d=1&amp;ls=&amp;live=false&amp;pid=true&amp;minsnaps=4"/>
  </connection>
  <connection id="6" name="Connection102" type="4" refreshedVersion="6" background="1" saveData="1">
    <webPr sourceData="1" parsePre="1" consecutive="1" xl2000="1" url="https://fantasydata.com/nfl-stats/fantasy-football-weekly-projections.aspx?fs=0&amp;stype=0&amp;sn=0&amp;scope=0&amp;w=0&amp;ew=0&amp;s=&amp;t=13&amp;p=2&amp;st=FantasyPointsPPR&amp;d=1&amp;ls=&amp;live=false&amp;pid=true&amp;minsnaps=4"/>
  </connection>
  <connection id="7" name="Connection103" type="4" refreshedVersion="6" background="1" saveData="1">
    <webPr sourceData="1" parsePre="1" consecutive="1" xl2000="1" url="https://fantasydata.com/nfl-stats/fantasy-football-weekly-projections.aspx?fs=0&amp;stype=0&amp;sn=0&amp;scope=0&amp;w=0&amp;ew=0&amp;s=&amp;t=14&amp;p=2&amp;st=FantasyPointsPPR&amp;d=1&amp;ls=&amp;live=false&amp;pid=true&amp;minsnaps=4"/>
  </connection>
  <connection id="8" name="Connection104" type="4" refreshedVersion="6" background="1" saveData="1">
    <webPr sourceData="1" parsePre="1" consecutive="1" xl2000="1" url="https://fantasydata.com/nfl-stats/fantasy-football-weekly-projections.aspx?fs=0&amp;stype=0&amp;sn=0&amp;scope=0&amp;w=0&amp;ew=0&amp;s=&amp;t=15&amp;p=2&amp;st=FantasyPointsPPR&amp;d=1&amp;ls=&amp;live=false&amp;pid=true&amp;minsnaps=4"/>
  </connection>
  <connection id="9" name="Connection105" type="4" refreshedVersion="6" background="1" saveData="1">
    <webPr sourceData="1" parsePre="1" consecutive="1" xl2000="1" url="https://fantasydata.com/nfl-stats/fantasy-football-weekly-projections.aspx?fs=0&amp;stype=0&amp;sn=0&amp;scope=0&amp;w=0&amp;ew=0&amp;s=&amp;t=16&amp;p=2&amp;st=FantasyPointsPPR&amp;d=1&amp;ls=&amp;live=false&amp;pid=true&amp;minsnaps=4"/>
  </connection>
  <connection id="10" name="Connection106" type="4" refreshedVersion="6" background="1" saveData="1">
    <webPr sourceData="1" parsePre="1" consecutive="1" xl2000="1" url="https://fantasydata.com/nfl-stats/fantasy-football-weekly-projections.aspx?fs=0&amp;stype=0&amp;sn=0&amp;scope=0&amp;w=0&amp;ew=0&amp;s=&amp;t=17&amp;p=2&amp;st=FantasyPointsPPR&amp;d=1&amp;ls=&amp;live=false&amp;pid=true&amp;minsnaps=4"/>
  </connection>
  <connection id="11" name="Connection107" type="4" refreshedVersion="6" background="1" saveData="1">
    <webPr sourceData="1" parsePre="1" consecutive="1" xl2000="1" url="https://fantasydata.com/nfl-stats/fantasy-football-weekly-projections.aspx?fs=0&amp;stype=0&amp;sn=0&amp;scope=0&amp;w=0&amp;ew=0&amp;s=&amp;t=18&amp;p=2&amp;st=FantasyPointsPPR&amp;d=1&amp;ls=&amp;live=false&amp;pid=true&amp;minsnaps=4"/>
  </connection>
  <connection id="12" name="Connection108" type="4" refreshedVersion="6" background="1" saveData="1">
    <webPr sourceData="1" parsePre="1" consecutive="1" xl2000="1" url="https://fantasydata.com/nfl-stats/fantasy-football-weekly-projections.aspx?fs=0&amp;stype=0&amp;sn=0&amp;scope=0&amp;w=0&amp;ew=0&amp;s=&amp;t=19&amp;p=2&amp;st=FantasyPointsPPR&amp;d=1&amp;ls=&amp;live=false&amp;pid=true&amp;minsnaps=4"/>
  </connection>
  <connection id="13" name="Connection109" type="4" refreshedVersion="6" background="1" saveData="1">
    <webPr sourceData="1" parsePre="1" consecutive="1" xl2000="1" url="https://fantasydata.com/nfl-stats/fantasy-football-weekly-projections.aspx?fs=0&amp;stype=0&amp;sn=0&amp;scope=0&amp;w=0&amp;ew=0&amp;s=&amp;t=20&amp;p=2&amp;st=FantasyPointsPPR&amp;d=1&amp;ls=&amp;live=false&amp;pid=true&amp;minsnaps=4"/>
  </connection>
  <connection id="14" name="Connection11" type="4" refreshedVersion="6" background="1" saveData="1">
    <webPr sourceData="1" parsePre="1" consecutive="1" xl2000="1" url="https://fantasydata.com/nfl-stats/fantasy-football-weekly-projections.aspx?fs=0&amp;stype=0&amp;sn=0&amp;scope=0&amp;w=0&amp;ew=0&amp;s=&amp;t=25&amp;p=5&amp;st=FantasyPoints&amp;d=1&amp;ls=&amp;live=false&amp;pid=true&amp;minsnaps=4"/>
  </connection>
  <connection id="15" name="Connection110" type="4" refreshedVersion="6" background="1" saveData="1">
    <webPr sourceData="1" parsePre="1" consecutive="1" xl2000="1" url="https://fantasydata.com/nfl-stats/fantasy-football-weekly-projections.aspx?fs=0&amp;stype=0&amp;sn=0&amp;scope=0&amp;w=0&amp;ew=0&amp;s=&amp;t=11&amp;p=3&amp;st=FantasyPointsPPR&amp;d=1&amp;ls=&amp;live=false&amp;pid=true&amp;minsnaps=4"/>
  </connection>
  <connection id="16" name="Connection111" type="4" refreshedVersion="6" background="1" saveData="1">
    <webPr sourceData="1" parsePre="1" consecutive="1" xl2000="1" url="https://fantasydata.com/nfl-stats/fantasy-football-weekly-projections.aspx?fs=0&amp;stype=0&amp;sn=0&amp;scope=0&amp;w=0&amp;ew=0&amp;s=&amp;t=12&amp;p=3&amp;st=FantasyPointsPPR&amp;d=1&amp;ls=&amp;live=false&amp;pid=true&amp;minsnaps=4"/>
  </connection>
  <connection id="17" name="Connection112" type="4" refreshedVersion="6" background="1" saveData="1">
    <webPr sourceData="1" parsePre="1" consecutive="1" xl2000="1" url="https://fantasydata.com/nfl-stats/fantasy-football-weekly-projections.aspx?fs=0&amp;stype=0&amp;sn=0&amp;scope=0&amp;w=0&amp;ew=0&amp;s=&amp;t=13&amp;p=3&amp;st=FantasyPointsPPR&amp;d=1&amp;ls=&amp;live=false&amp;pid=true&amp;minsnaps=4"/>
  </connection>
  <connection id="18" name="Connection113" type="4" refreshedVersion="6" background="1" saveData="1">
    <webPr sourceData="1" parsePre="1" consecutive="1" xl2000="1" url="https://fantasydata.com/nfl-stats/fantasy-football-weekly-projections.aspx?fs=0&amp;stype=0&amp;sn=0&amp;scope=0&amp;w=0&amp;ew=0&amp;s=&amp;t=14&amp;p=3&amp;st=FantasyPointsPPR&amp;d=1&amp;ls=&amp;live=false&amp;pid=true&amp;minsnaps=4"/>
  </connection>
  <connection id="19" name="Connection114" type="4" refreshedVersion="6" background="1" saveData="1">
    <webPr sourceData="1" parsePre="1" consecutive="1" xl2000="1" url="https://fantasydata.com/nfl-stats/fantasy-football-weekly-projections.aspx?fs=0&amp;stype=0&amp;sn=0&amp;scope=0&amp;w=0&amp;ew=0&amp;s=&amp;t=15&amp;p=3&amp;st=FantasyPointsPPR&amp;d=1&amp;ls=&amp;live=false&amp;pid=true&amp;minsnaps=4"/>
  </connection>
  <connection id="20" name="Connection115" type="4" refreshedVersion="6" background="1" saveData="1">
    <webPr sourceData="1" parsePre="1" consecutive="1" xl2000="1" url="https://fantasydata.com/nfl-stats/fantasy-football-weekly-projections.aspx?fs=0&amp;stype=0&amp;sn=0&amp;scope=0&amp;w=0&amp;ew=0&amp;s=&amp;t=16&amp;p=3&amp;st=FantasyPointsPPR&amp;d=1&amp;ls=&amp;live=false&amp;pid=true&amp;minsnaps=4"/>
  </connection>
  <connection id="21" name="Connection116" type="4" refreshedVersion="6" background="1" saveData="1">
    <webPr sourceData="1" parsePre="1" consecutive="1" xl2000="1" url="https://fantasydata.com/nfl-stats/fantasy-football-weekly-projections.aspx?fs=0&amp;stype=0&amp;sn=0&amp;scope=0&amp;w=0&amp;ew=0&amp;s=&amp;t=17&amp;p=3&amp;st=FantasyPointsPPR&amp;d=1&amp;ls=&amp;live=false&amp;pid=true&amp;minsnaps=4"/>
  </connection>
  <connection id="22" name="Connection117" type="4" refreshedVersion="6" background="1" saveData="1">
    <webPr sourceData="1" parsePre="1" consecutive="1" xl2000="1" url="https://fantasydata.com/nfl-stats/fantasy-football-weekly-projections.aspx?fs=0&amp;stype=0&amp;sn=0&amp;scope=0&amp;w=0&amp;ew=0&amp;s=&amp;t=18&amp;p=3&amp;st=FantasyPointsPPR&amp;d=1&amp;ls=&amp;live=false&amp;pid=true&amp;minsnaps=4"/>
  </connection>
  <connection id="23" name="Connection118" type="4" refreshedVersion="6" background="1" saveData="1">
    <webPr sourceData="1" parsePre="1" consecutive="1" xl2000="1" url="https://fantasydata.com/nfl-stats/fantasy-football-weekly-projections.aspx?fs=0&amp;stype=0&amp;sn=0&amp;scope=0&amp;w=0&amp;ew=0&amp;s=&amp;t=19&amp;p=3&amp;st=FantasyPointsPPR&amp;d=1&amp;ls=&amp;live=false&amp;pid=true&amp;minsnaps=4"/>
  </connection>
  <connection id="24" name="Connection119" type="4" refreshedVersion="6" background="1" saveData="1">
    <webPr sourceData="1" parsePre="1" consecutive="1" xl2000="1" url="https://fantasydata.com/nfl-stats/fantasy-football-weekly-projections.aspx?fs=0&amp;stype=0&amp;sn=0&amp;scope=0&amp;w=0&amp;ew=0&amp;s=&amp;t=20&amp;p=3&amp;st=FantasyPointsPPR&amp;d=1&amp;ls=&amp;live=false&amp;pid=true&amp;minsnaps=4"/>
  </connection>
  <connection id="25" name="Connection12" type="4" refreshedVersion="6" background="1" saveData="1">
    <webPr sourceData="1" parsePre="1" consecutive="1" xl2000="1" url="https://fantasydata.com/nfl-stats/fantasy-football-weekly-projections.aspx?fs=0&amp;stype=0&amp;sn=0&amp;scope=0&amp;w=0&amp;ew=0&amp;s=&amp;t=25&amp;p=5&amp;st=FantasyPoints&amp;d=1&amp;ls=&amp;live=false&amp;pid=true&amp;minsnaps=4"/>
  </connection>
  <connection id="26" name="Connection120" type="4" refreshedVersion="6" background="1" saveData="1">
    <webPr sourceData="1" parsePre="1" consecutive="1" xl2000="1" url="https://fantasydata.com/nfl-stats/fantasy-football-weekly-projections.aspx?fs=0&amp;stype=0&amp;sn=0&amp;scope=0&amp;w=0&amp;ew=0&amp;s=&amp;t=11&amp;p=4&amp;st=FantasyPointsPPR&amp;d=1&amp;ls=&amp;live=false&amp;pid=true&amp;minsnaps=4"/>
  </connection>
  <connection id="27" name="Connection121" type="4" refreshedVersion="6" background="1" saveData="1">
    <webPr sourceData="1" parsePre="1" consecutive="1" xl2000="1" url="https://fantasydata.com/nfl-stats/fantasy-football-weekly-projections.aspx?fs=0&amp;stype=0&amp;sn=0&amp;scope=0&amp;w=0&amp;ew=0&amp;s=&amp;t=12&amp;p=4&amp;st=FantasyPointsPPR&amp;d=1&amp;ls=&amp;live=false&amp;pid=true&amp;minsnaps=4"/>
  </connection>
  <connection id="28" name="Connection122" type="4" refreshedVersion="6" background="1" saveData="1">
    <webPr sourceData="1" parsePre="1" consecutive="1" xl2000="1" url="https://fantasydata.com/nfl-stats/fantasy-football-weekly-projections.aspx?fs=0&amp;stype=0&amp;sn=0&amp;scope=0&amp;w=0&amp;ew=0&amp;s=&amp;t=13&amp;p=4&amp;st=FantasyPointsPPR&amp;d=1&amp;ls=&amp;live=false&amp;pid=true&amp;minsnaps=4"/>
  </connection>
  <connection id="29" name="Connection123" type="4" refreshedVersion="6" background="1" saveData="1">
    <webPr sourceData="1" parsePre="1" consecutive="1" xl2000="1" url="https://fantasydata.com/nfl-stats/fantasy-football-weekly-projections.aspx?fs=0&amp;stype=0&amp;sn=0&amp;scope=0&amp;w=0&amp;ew=0&amp;s=&amp;t=14&amp;p=4&amp;st=FantasyPointsPPR&amp;d=1&amp;ls=&amp;live=false&amp;pid=true&amp;minsnaps=4"/>
  </connection>
  <connection id="30" name="Connection124" type="4" refreshedVersion="6" background="1" saveData="1">
    <webPr sourceData="1" parsePre="1" consecutive="1" xl2000="1" url="https://fantasydata.com/nfl-stats/fantasy-football-weekly-projections.aspx?fs=0&amp;stype=0&amp;sn=0&amp;scope=0&amp;w=0&amp;ew=0&amp;s=&amp;t=15&amp;p=4&amp;st=FantasyPointsPPR&amp;d=1&amp;ls=&amp;live=false&amp;pid=true&amp;minsnaps=4"/>
  </connection>
  <connection id="31" name="Connection125" type="4" refreshedVersion="6" background="1" saveData="1">
    <webPr sourceData="1" parsePre="1" consecutive="1" xl2000="1" url="https://fantasydata.com/nfl-stats/fantasy-football-weekly-projections.aspx?fs=0&amp;stype=0&amp;sn=0&amp;scope=0&amp;w=0&amp;ew=0&amp;s=&amp;t=16&amp;p=4&amp;st=FantasyPointsPPR&amp;d=1&amp;ls=&amp;live=false&amp;pid=true&amp;minsnaps=4"/>
  </connection>
  <connection id="32" name="Connection126" type="4" refreshedVersion="6" background="1" saveData="1">
    <webPr sourceData="1" parsePre="1" consecutive="1" xl2000="1" url="https://fantasydata.com/nfl-stats/fantasy-football-weekly-projections.aspx?fs=0&amp;stype=0&amp;sn=0&amp;scope=0&amp;w=0&amp;ew=0&amp;s=&amp;t=17&amp;p=4&amp;st=FantasyPointsPPR&amp;d=1&amp;ls=&amp;live=false&amp;pid=true&amp;minsnaps=4"/>
  </connection>
  <connection id="33" name="Connection127" type="4" refreshedVersion="6" background="1" saveData="1">
    <webPr sourceData="1" parsePre="1" consecutive="1" xl2000="1" url="https://fantasydata.com/nfl-stats/fantasy-football-weekly-projections.aspx?fs=0&amp;stype=0&amp;sn=0&amp;scope=0&amp;w=0&amp;ew=0&amp;s=&amp;t=18&amp;p=4&amp;st=FantasyPointsPPR&amp;d=1&amp;ls=&amp;live=false&amp;pid=true&amp;minsnaps=4"/>
  </connection>
  <connection id="34" name="Connection128" type="4" refreshedVersion="6" background="1" saveData="1">
    <webPr sourceData="1" parsePre="1" consecutive="1" xl2000="1" url="https://fantasydata.com/nfl-stats/fantasy-football-weekly-projections.aspx?fs=0&amp;stype=0&amp;sn=0&amp;scope=0&amp;w=0&amp;ew=0&amp;s=&amp;t=19&amp;p=4&amp;st=FantasyPointsPPR&amp;d=1&amp;ls=&amp;live=false&amp;pid=true&amp;minsnaps=4"/>
  </connection>
  <connection id="35" name="Connection129" type="4" refreshedVersion="6" background="1" saveData="1">
    <webPr sourceData="1" parsePre="1" consecutive="1" xl2000="1" url="https://fantasydata.com/nfl-stats/fantasy-football-weekly-projections.aspx?fs=0&amp;stype=0&amp;sn=0&amp;scope=0&amp;w=0&amp;ew=0&amp;s=&amp;t=20&amp;p=4&amp;st=FantasyPointsPPR&amp;d=1&amp;ls=&amp;live=false&amp;pid=true&amp;minsnaps=4"/>
  </connection>
  <connection id="36" name="Connection13" type="4" refreshedVersion="6" background="1" saveData="1">
    <webPr sourceData="1" parsePre="1" consecutive="1" xl2000="1" url="https://fantasydata.com/nfl-stats/fantasy-football-weekly-projections.aspx?fs=0&amp;stype=0&amp;sn=0&amp;scope=0&amp;w=0&amp;ew=0&amp;s=&amp;t=25&amp;p=5&amp;st=FantasyPoints&amp;d=1&amp;ls=&amp;live=false&amp;pid=true&amp;minsnaps=4"/>
  </connection>
  <connection id="37" name="Connection130" type="4" refreshedVersion="6" background="1" saveData="1">
    <webPr sourceData="1" parsePre="1" consecutive="1" xl2000="1" url="https://fantasydata.com/nfl-stats/fantasy-football-weekly-projections.aspx?fs=0&amp;stype=0&amp;sn=0&amp;scope=0&amp;w=0&amp;ew=0&amp;s=&amp;t=11&amp;p=5&amp;st=FantasyPointsPPR&amp;d=1&amp;ls=&amp;live=false&amp;pid=true&amp;minsnaps=4"/>
  </connection>
  <connection id="38" name="Connection131" type="4" refreshedVersion="6" background="1" saveData="1">
    <webPr sourceData="1" parsePre="1" consecutive="1" xl2000="1" url="https://fantasydata.com/nfl-stats/fantasy-football-weekly-projections.aspx?fs=0&amp;stype=0&amp;sn=0&amp;scope=0&amp;w=0&amp;ew=0&amp;s=&amp;t=12&amp;p=5&amp;st=FantasyPointsPPR&amp;d=1&amp;ls=&amp;live=false&amp;pid=true&amp;minsnaps=4"/>
  </connection>
  <connection id="39" name="Connection132" type="4" refreshedVersion="6" background="1" saveData="1">
    <webPr sourceData="1" parsePre="1" consecutive="1" xl2000="1" url="https://fantasydata.com/nfl-stats/fantasy-football-weekly-projections.aspx?fs=0&amp;stype=0&amp;sn=0&amp;scope=0&amp;w=0&amp;ew=0&amp;s=&amp;t=13&amp;p=5&amp;st=FantasyPointsPPR&amp;d=1&amp;ls=&amp;live=false&amp;pid=true&amp;minsnaps=4"/>
  </connection>
  <connection id="40" name="Connection133" type="4" refreshedVersion="6" background="1" saveData="1">
    <webPr sourceData="1" parsePre="1" consecutive="1" xl2000="1" url="https://fantasydata.com/nfl-stats/fantasy-football-weekly-projections.aspx?fs=0&amp;stype=0&amp;sn=0&amp;scope=0&amp;w=0&amp;ew=0&amp;s=&amp;t=14&amp;p=5&amp;st=FantasyPointsPPR&amp;d=1&amp;ls=&amp;live=false&amp;pid=true&amp;minsnaps=4"/>
  </connection>
  <connection id="41" name="Connection134" type="4" refreshedVersion="6" background="1" saveData="1">
    <webPr sourceData="1" parsePre="1" consecutive="1" xl2000="1" url="https://fantasydata.com/nfl-stats/fantasy-football-weekly-projections.aspx?fs=0&amp;stype=0&amp;sn=0&amp;scope=0&amp;w=0&amp;ew=0&amp;s=&amp;t=15&amp;p=5&amp;st=FantasyPointsPPR&amp;d=1&amp;ls=&amp;live=false&amp;pid=true&amp;minsnaps=4"/>
  </connection>
  <connection id="42" name="Connection135" type="4" refreshedVersion="6" background="1" saveData="1">
    <webPr sourceData="1" parsePre="1" consecutive="1" xl2000="1" url="https://fantasydata.com/nfl-stats/fantasy-football-weekly-projections.aspx?fs=0&amp;stype=0&amp;sn=0&amp;scope=0&amp;w=0&amp;ew=0&amp;s=&amp;t=16&amp;p=5&amp;st=FantasyPointsPPR&amp;d=1&amp;ls=&amp;live=false&amp;pid=true&amp;minsnaps=4"/>
  </connection>
  <connection id="43" name="Connection136" type="4" refreshedVersion="6" background="1" saveData="1">
    <webPr sourceData="1" parsePre="1" consecutive="1" xl2000="1" url="https://fantasydata.com/nfl-stats/fantasy-football-weekly-projections.aspx?fs=0&amp;stype=0&amp;sn=0&amp;scope=0&amp;w=0&amp;ew=0&amp;s=&amp;t=17&amp;p=5&amp;st=FantasyPointsPPR&amp;d=1&amp;ls=&amp;live=false&amp;pid=true&amp;minsnaps=4"/>
  </connection>
  <connection id="44" name="Connection137" type="4" refreshedVersion="6" background="1" saveData="1">
    <webPr sourceData="1" parsePre="1" consecutive="1" xl2000="1" url="https://fantasydata.com/nfl-stats/fantasy-football-weekly-projections.aspx?fs=0&amp;stype=0&amp;sn=0&amp;scope=0&amp;w=0&amp;ew=0&amp;s=&amp;t=18&amp;p=5&amp;st=FantasyPointsPPR&amp;d=1&amp;ls=&amp;live=false&amp;pid=true&amp;minsnaps=4"/>
  </connection>
  <connection id="45" name="Connection138" type="4" refreshedVersion="6" background="1" saveData="1">
    <webPr sourceData="1" parsePre="1" consecutive="1" xl2000="1" url="https://fantasydata.com/nfl-stats/fantasy-football-weekly-projections.aspx?fs=0&amp;stype=0&amp;sn=0&amp;scope=0&amp;w=0&amp;ew=0&amp;s=&amp;t=19&amp;p=5&amp;st=FantasyPointsPPR&amp;d=1&amp;ls=&amp;live=false&amp;pid=true&amp;minsnaps=4"/>
  </connection>
  <connection id="46" name="Connection139" type="4" refreshedVersion="6" background="1" saveData="1">
    <webPr sourceData="1" parsePre="1" consecutive="1" xl2000="1" url="https://fantasydata.com/nfl-stats/fantasy-football-weekly-projections.aspx?fs=0&amp;stype=0&amp;sn=0&amp;scope=0&amp;w=0&amp;ew=0&amp;s=&amp;t=20&amp;p=5&amp;st=FantasyPointsPPR&amp;d=1&amp;ls=&amp;live=false&amp;pid=true&amp;minsnaps=4"/>
  </connection>
  <connection id="47" name="Connection14" type="4" refreshedVersion="6" background="1" saveData="1">
    <webPr sourceData="1" parsePre="1" consecutive="1" xl2000="1" url="https://fantasydata.com/nfl-stats/fantasy-football-weekly-projections.aspx?fs=0&amp;stype=0&amp;sn=0&amp;scope=0&amp;w=0&amp;ew=0&amp;s=&amp;t=20&amp;p=5&amp;st=FantasyPoints&amp;d=1&amp;ls=&amp;live=false&amp;pid=true&amp;minsnaps=4"/>
  </connection>
  <connection id="48" name="Connection140" type="4" refreshedVersion="6" background="1" saveData="1">
    <webPr sourceData="1" parsePre="1" consecutive="1" xl2000="1" url="https://fantasydata.com/nfl-stats/fantasy-football-weekly-projections.aspx?fs=0&amp;stype=0&amp;sn=0&amp;scope=0&amp;w=0&amp;ew=0&amp;s=&amp;t=11&amp;p=6&amp;st=FantasyPointsPPR&amp;d=1&amp;ls=&amp;live=false&amp;pid=true&amp;minsnaps=4"/>
  </connection>
  <connection id="49" name="Connection141" type="4" refreshedVersion="6" background="1" saveData="1">
    <webPr sourceData="1" parsePre="1" consecutive="1" xl2000="1" url="https://fantasydata.com/nfl-stats/fantasy-football-weekly-projections.aspx?fs=0&amp;stype=0&amp;sn=0&amp;scope=0&amp;w=0&amp;ew=0&amp;s=&amp;t=12&amp;p=6&amp;st=FantasyPointsPPR&amp;d=1&amp;ls=&amp;live=false&amp;pid=true&amp;minsnaps=4"/>
  </connection>
  <connection id="50" name="Connection142" type="4" refreshedVersion="6" background="1" saveData="1">
    <webPr sourceData="1" parsePre="1" consecutive="1" xl2000="1" url="https://fantasydata.com/nfl-stats/fantasy-football-weekly-projections.aspx?fs=0&amp;stype=0&amp;sn=0&amp;scope=0&amp;w=0&amp;ew=0&amp;s=&amp;t=13&amp;p=6&amp;st=FantasyPointsPPR&amp;d=1&amp;ls=&amp;live=false&amp;pid=true&amp;minsnaps=4"/>
  </connection>
  <connection id="51" name="Connection143" type="4" refreshedVersion="6" background="1" saveData="1">
    <webPr sourceData="1" parsePre="1" consecutive="1" xl2000="1" url="https://fantasydata.com/nfl-stats/fantasy-football-weekly-projections.aspx?fs=0&amp;stype=0&amp;sn=0&amp;scope=0&amp;w=0&amp;ew=0&amp;s=&amp;t=14&amp;p=6&amp;st=FantasyPointsPPR&amp;d=1&amp;ls=&amp;live=false&amp;pid=true&amp;minsnaps=4"/>
  </connection>
  <connection id="52" name="Connection144" type="4" refreshedVersion="6" background="1" saveData="1">
    <webPr sourceData="1" parsePre="1" consecutive="1" xl2000="1" url="https://fantasydata.com/nfl-stats/fantasy-football-weekly-projections.aspx?fs=0&amp;stype=0&amp;sn=0&amp;scope=0&amp;w=0&amp;ew=0&amp;s=&amp;t=15&amp;p=6&amp;st=FantasyPointsPPR&amp;d=1&amp;ls=&amp;live=false&amp;pid=true&amp;minsnaps=4"/>
  </connection>
  <connection id="53" name="Connection145" type="4" refreshedVersion="6" background="1" saveData="1">
    <webPr sourceData="1" parsePre="1" consecutive="1" xl2000="1" url="https://fantasydata.com/nfl-stats/fantasy-football-weekly-projections.aspx?fs=0&amp;stype=0&amp;sn=0&amp;scope=0&amp;w=0&amp;ew=0&amp;s=&amp;t=16&amp;p=6&amp;st=FantasyPointsPPR&amp;d=1&amp;ls=&amp;live=false&amp;pid=true&amp;minsnaps=4"/>
  </connection>
  <connection id="54" name="Connection146" type="4" refreshedVersion="6" background="1" saveData="1">
    <webPr sourceData="1" parsePre="1" consecutive="1" xl2000="1" url="https://fantasydata.com/nfl-stats/fantasy-football-weekly-projections.aspx?fs=0&amp;stype=0&amp;sn=0&amp;scope=0&amp;w=0&amp;ew=0&amp;s=&amp;t=17&amp;p=6&amp;st=FantasyPointsPPR&amp;d=1&amp;ls=&amp;live=false&amp;pid=true&amp;minsnaps=4"/>
  </connection>
  <connection id="55" name="Connection147" type="4" refreshedVersion="6" background="1" saveData="1">
    <webPr sourceData="1" parsePre="1" consecutive="1" xl2000="1" url="https://fantasydata.com/nfl-stats/fantasy-football-weekly-projections.aspx?fs=0&amp;stype=0&amp;sn=0&amp;scope=0&amp;w=0&amp;ew=0&amp;s=&amp;t=18&amp;p=6&amp;st=FantasyPointsPPR&amp;d=1&amp;ls=&amp;live=false&amp;pid=true&amp;minsnaps=4"/>
  </connection>
  <connection id="56" name="Connection148" type="4" refreshedVersion="6" background="1" saveData="1">
    <webPr sourceData="1" parsePre="1" consecutive="1" xl2000="1" url="https://fantasydata.com/nfl-stats/fantasy-football-weekly-projections.aspx?fs=0&amp;stype=0&amp;sn=0&amp;scope=0&amp;w=0&amp;ew=0&amp;s=&amp;t=19&amp;p=6&amp;st=FantasyPointsPPR&amp;d=1&amp;ls=&amp;live=false&amp;pid=true&amp;minsnaps=4"/>
  </connection>
  <connection id="57" name="Connection149" type="4" refreshedVersion="6" background="1" saveData="1">
    <webPr sourceData="1" parsePre="1" consecutive="1" xl2000="1" url="https://fantasydata.com/nfl-stats/fantasy-football-weekly-projections.aspx?fs=0&amp;stype=0&amp;sn=0&amp;scope=0&amp;w=0&amp;ew=0&amp;s=&amp;t=20&amp;p=6&amp;st=FantasyPointsPPR&amp;d=1&amp;ls=&amp;live=false&amp;pid=true&amp;minsnaps=4"/>
  </connection>
  <connection id="58" name="Connection15" type="4" refreshedVersion="6" background="1" saveData="1">
    <webPr sourceData="1" parsePre="1" consecutive="1" xl2000="1" url="https://fantasydata.com/nfl-stats/fantasy-football-weekly-projections.aspx?fs=0&amp;stype=0&amp;sn=0&amp;scope=0&amp;w=0&amp;ew=0&amp;s=&amp;t=20&amp;p=5&amp;st=FantasyPoints&amp;d=1&amp;ls=&amp;live=false&amp;pid=true&amp;minsnaps=4"/>
  </connection>
  <connection id="59" name="Connection150" type="4" refreshedVersion="6" background="1" saveData="1">
    <webPr sourceData="1" parsePre="1" consecutive="1" xl2000="1" url="https://fantasydata.com/nfl-stats/fantasy-football-weekly-projections.aspx?fs=0&amp;stype=0&amp;sn=0&amp;scope=0&amp;w=0&amp;ew=0&amp;s=&amp;t=21&amp;p=1&amp;st=FantasyPointsPPR&amp;d=1&amp;ls=&amp;live=false&amp;pid=true&amp;minsnaps=4"/>
  </connection>
  <connection id="60" name="Connection151" type="4" refreshedVersion="6" background="1" saveData="1">
    <webPr sourceData="1" parsePre="1" consecutive="1" xl2000="1" url="https://fantasydata.com/nfl-stats/fantasy-football-weekly-projections.aspx?fs=0&amp;stype=0&amp;sn=0&amp;scope=0&amp;w=0&amp;ew=0&amp;s=&amp;t=22&amp;p=1&amp;st=FantasyPointsPPR&amp;d=1&amp;ls=&amp;live=false&amp;pid=true&amp;minsnaps=4"/>
  </connection>
  <connection id="61" name="Connection152" type="4" refreshedVersion="6" background="1" saveData="1">
    <webPr sourceData="1" parsePre="1" consecutive="1" xl2000="1" url="https://fantasydata.com/nfl-stats/fantasy-football-weekly-projections.aspx?fs=0&amp;stype=0&amp;sn=0&amp;scope=0&amp;w=0&amp;ew=0&amp;s=&amp;t=23&amp;p=1&amp;st=FantasyPointsPPR&amp;d=1&amp;ls=&amp;live=false&amp;pid=true&amp;minsnaps=4"/>
  </connection>
  <connection id="62" name="Connection153" type="4" refreshedVersion="6" background="1" saveData="1">
    <webPr sourceData="1" parsePre="1" consecutive="1" xl2000="1" url="https://fantasydata.com/nfl-stats/fantasy-football-weekly-projections.aspx?fs=0&amp;stype=0&amp;sn=0&amp;scope=0&amp;w=0&amp;ew=0&amp;s=&amp;t=24&amp;p=1&amp;st=FantasyPointsPPR&amp;d=1&amp;ls=&amp;live=false&amp;pid=true&amp;minsnaps=4"/>
  </connection>
  <connection id="63" name="Connection154" type="4" refreshedVersion="6" background="1" saveData="1">
    <webPr sourceData="1" parsePre="1" consecutive="1" xl2000="1" url="https://fantasydata.com/nfl-stats/fantasy-football-weekly-projections.aspx?fs=0&amp;stype=0&amp;sn=0&amp;scope=0&amp;w=0&amp;ew=0&amp;s=&amp;t=25&amp;p=1&amp;st=FantasyPointsPPR&amp;d=1&amp;ls=&amp;live=false&amp;pid=true&amp;minsnaps=4"/>
  </connection>
  <connection id="64" name="Connection155" type="4" refreshedVersion="6" background="1" saveData="1">
    <webPr sourceData="1" parsePre="1" consecutive="1" xl2000="1" url="https://fantasydata.com/nfl-stats/fantasy-football-weekly-projections.aspx?fs=0&amp;stype=0&amp;sn=0&amp;scope=0&amp;w=0&amp;ew=0&amp;s=&amp;t=26&amp;p=1&amp;st=FantasyPointsPPR&amp;d=1&amp;ls=&amp;live=false&amp;pid=true&amp;minsnaps=4"/>
  </connection>
  <connection id="65" name="Connection156" type="4" refreshedVersion="6" background="1" saveData="1">
    <webPr sourceData="1" parsePre="1" consecutive="1" xl2000="1" url="https://fantasydata.com/nfl-stats/fantasy-football-weekly-projections.aspx?fs=0&amp;stype=0&amp;sn=0&amp;scope=0&amp;w=0&amp;ew=0&amp;s=&amp;t=21&amp;p=2&amp;st=FantasyPointsPPR&amp;d=1&amp;ls=&amp;live=false&amp;pid=true&amp;minsnaps=4"/>
  </connection>
  <connection id="66" name="Connection157" type="4" refreshedVersion="6" background="1" saveData="1">
    <webPr sourceData="1" parsePre="1" consecutive="1" xl2000="1" url="https://fantasydata.com/nfl-stats/fantasy-football-weekly-projections.aspx?fs=0&amp;stype=0&amp;sn=0&amp;scope=0&amp;w=0&amp;ew=0&amp;s=&amp;t=22&amp;p=2&amp;st=FantasyPointsPPR&amp;d=1&amp;ls=&amp;live=false&amp;pid=true&amp;minsnaps=4"/>
  </connection>
  <connection id="67" name="Connection158" type="4" refreshedVersion="6" background="1" saveData="1">
    <webPr sourceData="1" parsePre="1" consecutive="1" xl2000="1" url="https://fantasydata.com/nfl-stats/fantasy-football-weekly-projections.aspx?fs=0&amp;stype=0&amp;sn=0&amp;scope=0&amp;w=0&amp;ew=0&amp;s=&amp;t=23&amp;p=2&amp;st=FantasyPointsPPR&amp;d=1&amp;ls=&amp;live=false&amp;pid=true&amp;minsnaps=4"/>
  </connection>
  <connection id="68" name="Connection159" type="4" refreshedVersion="6" background="1" saveData="1">
    <webPr sourceData="1" parsePre="1" consecutive="1" xl2000="1" url="https://fantasydata.com/nfl-stats/fantasy-football-weekly-projections.aspx?fs=0&amp;stype=0&amp;sn=0&amp;scope=0&amp;w=0&amp;ew=0&amp;s=&amp;t=24&amp;p=2&amp;st=FantasyPointsPPR&amp;d=1&amp;ls=&amp;live=false&amp;pid=true&amp;minsnaps=4"/>
  </connection>
  <connection id="69" name="Connection16" type="4" refreshedVersion="6" background="1" saveData="1">
    <webPr sourceData="1" parsePre="1" consecutive="1" xl2000="1" url="https://fantasydata.com/nfl-stats/fantasy-football-weekly-projections.aspx?fs=0&amp;stype=0&amp;sn=0&amp;scope=0&amp;w=0&amp;ew=0&amp;s=&amp;t=20&amp;p=5&amp;st=FantasyPoints&amp;d=1&amp;ls=&amp;live=false&amp;pid=true&amp;minsnaps=4"/>
  </connection>
  <connection id="70" name="Connection160" type="4" refreshedVersion="6" background="1" saveData="1">
    <webPr sourceData="1" parsePre="1" consecutive="1" xl2000="1" url="https://fantasydata.com/nfl-stats/fantasy-football-weekly-projections.aspx?fs=0&amp;stype=0&amp;sn=0&amp;scope=0&amp;w=0&amp;ew=0&amp;s=&amp;t=25&amp;p=2&amp;st=FantasyPointsPPR&amp;d=1&amp;ls=&amp;live=false&amp;pid=true&amp;minsnaps=4"/>
  </connection>
  <connection id="71" name="Connection161" type="4" refreshedVersion="6" background="1" saveData="1">
    <webPr sourceData="1" parsePre="1" consecutive="1" xl2000="1" url="https://fantasydata.com/nfl-stats/fantasy-football-weekly-projections.aspx?fs=0&amp;stype=0&amp;sn=0&amp;scope=0&amp;w=0&amp;ew=0&amp;s=&amp;t=26&amp;p=2&amp;st=FantasyPointsPPR&amp;d=1&amp;ls=&amp;live=false&amp;pid=true&amp;minsnaps=4"/>
  </connection>
  <connection id="72" name="Connection162" type="4" refreshedVersion="6" background="1" saveData="1">
    <webPr sourceData="1" parsePre="1" consecutive="1" xl2000="1" url="https://fantasydata.com/nfl-stats/fantasy-football-weekly-projections.aspx?fs=0&amp;stype=0&amp;sn=0&amp;scope=0&amp;w=0&amp;ew=0&amp;s=&amp;t=21&amp;p=3&amp;st=FantasyPointsPPR&amp;d=1&amp;ls=&amp;live=false&amp;pid=true&amp;minsnaps=4"/>
  </connection>
  <connection id="73" name="Connection163" type="4" refreshedVersion="6" background="1" saveData="1">
    <webPr sourceData="1" parsePre="1" consecutive="1" xl2000="1" url="https://fantasydata.com/nfl-stats/fantasy-football-weekly-projections.aspx?fs=0&amp;stype=0&amp;sn=0&amp;scope=0&amp;w=0&amp;ew=0&amp;s=&amp;t=22&amp;p=3&amp;st=FantasyPointsPPR&amp;d=1&amp;ls=&amp;live=false&amp;pid=true&amp;minsnaps=4"/>
  </connection>
  <connection id="74" name="Connection164" type="4" refreshedVersion="6" background="1" saveData="1">
    <webPr sourceData="1" parsePre="1" consecutive="1" xl2000="1" url="https://fantasydata.com/nfl-stats/fantasy-football-weekly-projections.aspx?fs=0&amp;stype=0&amp;sn=0&amp;scope=0&amp;w=0&amp;ew=0&amp;s=&amp;t=23&amp;p=3&amp;st=FantasyPointsPPR&amp;d=1&amp;ls=&amp;live=false&amp;pid=true&amp;minsnaps=4"/>
  </connection>
  <connection id="75" name="Connection165" type="4" refreshedVersion="6" background="1" saveData="1">
    <webPr sourceData="1" parsePre="1" consecutive="1" xl2000="1" url="https://fantasydata.com/nfl-stats/fantasy-football-weekly-projections.aspx?fs=0&amp;stype=0&amp;sn=0&amp;scope=0&amp;w=0&amp;ew=0&amp;s=&amp;t=24&amp;p=3&amp;st=FantasyPointsPPR&amp;d=1&amp;ls=&amp;live=false&amp;pid=true&amp;minsnaps=4"/>
  </connection>
  <connection id="76" name="Connection166" type="4" refreshedVersion="6" background="1" saveData="1">
    <webPr sourceData="1" parsePre="1" consecutive="1" xl2000="1" url="https://fantasydata.com/nfl-stats/fantasy-football-weekly-projections.aspx?fs=0&amp;stype=0&amp;sn=0&amp;scope=0&amp;w=0&amp;ew=0&amp;s=&amp;t=25&amp;p=3&amp;st=FantasyPointsPPR&amp;d=1&amp;ls=&amp;live=false&amp;pid=true&amp;minsnaps=4"/>
  </connection>
  <connection id="77" name="Connection167" type="4" refreshedVersion="6" background="1" saveData="1">
    <webPr sourceData="1" parsePre="1" consecutive="1" xl2000="1" url="https://fantasydata.com/nfl-stats/fantasy-football-weekly-projections.aspx?fs=0&amp;stype=0&amp;sn=0&amp;scope=0&amp;w=0&amp;ew=0&amp;s=&amp;t=26&amp;p=3&amp;st=FantasyPointsPPR&amp;d=1&amp;ls=&amp;live=false&amp;pid=true&amp;minsnaps=4"/>
  </connection>
  <connection id="78" name="Connection168" type="4" refreshedVersion="6" background="1" saveData="1">
    <webPr sourceData="1" parsePre="1" consecutive="1" xl2000="1" url="https://fantasydata.com/nfl-stats/fantasy-football-weekly-projections.aspx?fs=0&amp;stype=0&amp;sn=0&amp;scope=0&amp;w=0&amp;ew=0&amp;s=&amp;t=21&amp;p=4&amp;st=FantasyPointsPPR&amp;d=1&amp;ls=&amp;live=false&amp;pid=true&amp;minsnaps=4"/>
  </connection>
  <connection id="79" name="Connection169" type="4" refreshedVersion="6" background="1" saveData="1">
    <webPr sourceData="1" parsePre="1" consecutive="1" xl2000="1" url="https://fantasydata.com/nfl-stats/fantasy-football-weekly-projections.aspx?fs=0&amp;stype=0&amp;sn=0&amp;scope=0&amp;w=0&amp;ew=0&amp;s=&amp;t=22&amp;p=4&amp;st=FantasyPointsPPR&amp;d=1&amp;ls=&amp;live=false&amp;pid=true&amp;minsnaps=4"/>
  </connection>
  <connection id="80" name="Connection17" type="4" refreshedVersion="6" background="1" saveData="1">
    <webPr sourceData="1" parsePre="1" consecutive="1" xl2000="1" url="https://fantasydata.com/nfl-stats/fantasy-football-weekly-projections.aspx?fs=0&amp;stype=0&amp;sn=0&amp;scope=0&amp;w=0&amp;ew=0&amp;s=&amp;t=20&amp;p=5&amp;st=FantasyPoints&amp;d=1&amp;ls=&amp;live=false&amp;pid=true&amp;minsnaps=4"/>
  </connection>
  <connection id="81" name="Connection170" type="4" refreshedVersion="6" background="1" saveData="1">
    <webPr sourceData="1" parsePre="1" consecutive="1" xl2000="1" url="https://fantasydata.com/nfl-stats/fantasy-football-weekly-projections.aspx?fs=0&amp;stype=0&amp;sn=0&amp;scope=0&amp;w=0&amp;ew=0&amp;s=&amp;t=23&amp;p=4&amp;st=FantasyPointsPPR&amp;d=1&amp;ls=&amp;live=false&amp;pid=true&amp;minsnaps=4"/>
  </connection>
  <connection id="82" name="Connection171" type="4" refreshedVersion="6" background="1" saveData="1">
    <webPr sourceData="1" parsePre="1" consecutive="1" xl2000="1" url="https://fantasydata.com/nfl-stats/fantasy-football-weekly-projections.aspx?fs=0&amp;stype=0&amp;sn=0&amp;scope=0&amp;w=0&amp;ew=0&amp;s=&amp;t=24&amp;p=4&amp;st=FantasyPointsPPR&amp;d=1&amp;ls=&amp;live=false&amp;pid=true&amp;minsnaps=4"/>
  </connection>
  <connection id="83" name="Connection172" type="4" refreshedVersion="6" background="1" saveData="1">
    <webPr sourceData="1" parsePre="1" consecutive="1" xl2000="1" url="https://fantasydata.com/nfl-stats/fantasy-football-weekly-projections.aspx?fs=0&amp;stype=0&amp;sn=0&amp;scope=0&amp;w=0&amp;ew=0&amp;s=&amp;t=25&amp;p=4&amp;st=FantasyPointsPPR&amp;d=1&amp;ls=&amp;live=false&amp;pid=true&amp;minsnaps=4"/>
  </connection>
  <connection id="84" name="Connection173" type="4" refreshedVersion="6" background="1" saveData="1">
    <webPr sourceData="1" parsePre="1" consecutive="1" xl2000="1" url="https://fantasydata.com/nfl-stats/fantasy-football-weekly-projections.aspx?fs=0&amp;stype=0&amp;sn=0&amp;scope=0&amp;w=0&amp;ew=0&amp;s=&amp;t=26&amp;p=4&amp;st=FantasyPointsPPR&amp;d=1&amp;ls=&amp;live=false&amp;pid=true&amp;minsnaps=4"/>
  </connection>
  <connection id="85" name="Connection174" type="4" refreshedVersion="6" background="1" saveData="1">
    <webPr sourceData="1" parsePre="1" consecutive="1" xl2000="1" url="https://fantasydata.com/nfl-stats/fantasy-football-weekly-projections.aspx?fs=0&amp;stype=0&amp;sn=0&amp;scope=0&amp;w=0&amp;ew=0&amp;s=&amp;t=21&amp;p=5&amp;st=FantasyPointsPPR&amp;d=1&amp;ls=&amp;live=false&amp;pid=true&amp;minsnaps=4"/>
  </connection>
  <connection id="86" name="Connection175" type="4" refreshedVersion="6" background="1" saveData="1">
    <webPr sourceData="1" parsePre="1" consecutive="1" xl2000="1" url="https://fantasydata.com/nfl-stats/fantasy-football-weekly-projections.aspx?fs=0&amp;stype=0&amp;sn=0&amp;scope=0&amp;w=0&amp;ew=0&amp;s=&amp;t=22&amp;p=5&amp;st=FantasyPointsPPR&amp;d=1&amp;ls=&amp;live=false&amp;pid=true&amp;minsnaps=4"/>
  </connection>
  <connection id="87" name="Connection176" type="4" refreshedVersion="6" background="1" saveData="1">
    <webPr sourceData="1" parsePre="1" consecutive="1" xl2000="1" url="https://fantasydata.com/nfl-stats/fantasy-football-weekly-projections.aspx?fs=0&amp;stype=0&amp;sn=0&amp;scope=0&amp;w=0&amp;ew=0&amp;s=&amp;t=23&amp;p=5&amp;st=FantasyPointsPPR&amp;d=1&amp;ls=&amp;live=false&amp;pid=true&amp;minsnaps=4"/>
  </connection>
  <connection id="88" name="Connection177" type="4" refreshedVersion="6" background="1" saveData="1">
    <webPr sourceData="1" parsePre="1" consecutive="1" xl2000="1" url="https://fantasydata.com/nfl-stats/fantasy-football-weekly-projections.aspx?fs=0&amp;stype=0&amp;sn=0&amp;scope=0&amp;w=0&amp;ew=0&amp;s=&amp;t=24&amp;p=5&amp;st=FantasyPointsPPR&amp;d=1&amp;ls=&amp;live=false&amp;pid=true&amp;minsnaps=4"/>
  </connection>
  <connection id="89" name="Connection178" type="4" refreshedVersion="6" background="1" saveData="1">
    <webPr sourceData="1" parsePre="1" consecutive="1" xl2000="1" url="https://fantasydata.com/nfl-stats/fantasy-football-weekly-projections.aspx?fs=0&amp;stype=0&amp;sn=0&amp;scope=0&amp;w=0&amp;ew=0&amp;s=&amp;t=25&amp;p=5&amp;st=FantasyPointsPPR&amp;d=1&amp;ls=&amp;live=false&amp;pid=true&amp;minsnaps=4"/>
  </connection>
  <connection id="90" name="Connection179" type="4" refreshedVersion="6" background="1" saveData="1">
    <webPr sourceData="1" parsePre="1" consecutive="1" xl2000="1" url="https://fantasydata.com/nfl-stats/fantasy-football-weekly-projections.aspx?fs=0&amp;stype=0&amp;sn=0&amp;scope=0&amp;w=0&amp;ew=0&amp;s=&amp;t=26&amp;p=5&amp;st=FantasyPointsPPR&amp;d=1&amp;ls=&amp;live=false&amp;pid=true&amp;minsnaps=4"/>
  </connection>
  <connection id="91" name="Connection18" type="4" refreshedVersion="6" background="1" saveData="1">
    <webPr sourceData="1" parsePre="1" consecutive="1" xl2000="1" url="https://fantasydata.com/nfl-stats/fantasy-football-weekly-projections.aspx?fs=0&amp;stype=0&amp;sn=0&amp;scope=0&amp;w=0&amp;ew=0&amp;s=&amp;t=25&amp;p=5&amp;st=FantasyPoints&amp;d=1&amp;ls=&amp;live=false&amp;pid=true&amp;minsnaps=4"/>
  </connection>
  <connection id="92" name="Connection180" type="4" refreshedVersion="6" background="1" saveData="1">
    <webPr sourceData="1" parsePre="1" consecutive="1" xl2000="1" url="https://fantasydata.com/nfl-stats/fantasy-football-weekly-projections.aspx?fs=0&amp;stype=0&amp;sn=0&amp;scope=0&amp;w=0&amp;ew=0&amp;s=&amp;t=21&amp;p=6&amp;st=FantasyPointsPPR&amp;d=1&amp;ls=&amp;live=false&amp;pid=true&amp;minsnaps=4"/>
  </connection>
  <connection id="93" name="Connection181" type="4" refreshedVersion="6" background="1" saveData="1">
    <webPr sourceData="1" parsePre="1" consecutive="1" xl2000="1" url="https://fantasydata.com/nfl-stats/fantasy-football-weekly-projections.aspx?fs=0&amp;stype=0&amp;sn=0&amp;scope=0&amp;w=0&amp;ew=0&amp;s=&amp;t=22&amp;p=6&amp;st=FantasyPointsPPR&amp;d=1&amp;ls=&amp;live=false&amp;pid=true&amp;minsnaps=4"/>
  </connection>
  <connection id="94" name="Connection182" type="4" refreshedVersion="6" background="1" saveData="1">
    <webPr sourceData="1" parsePre="1" consecutive="1" xl2000="1" url="https://fantasydata.com/nfl-stats/fantasy-football-weekly-projections.aspx?fs=0&amp;stype=0&amp;sn=0&amp;scope=0&amp;w=0&amp;ew=0&amp;s=&amp;t=23&amp;p=6&amp;st=FantasyPointsPPR&amp;d=1&amp;ls=&amp;live=false&amp;pid=true&amp;minsnaps=4"/>
  </connection>
  <connection id="95" name="Connection183" type="4" refreshedVersion="6" background="1" saveData="1">
    <webPr sourceData="1" parsePre="1" consecutive="1" xl2000="1" url="https://fantasydata.com/nfl-stats/fantasy-football-weekly-projections.aspx?fs=0&amp;stype=0&amp;sn=0&amp;scope=0&amp;w=0&amp;ew=0&amp;s=&amp;t=24&amp;p=6&amp;st=FantasyPointsPPR&amp;d=1&amp;ls=&amp;live=false&amp;pid=true&amp;minsnaps=4"/>
  </connection>
  <connection id="96" name="Connection184" type="4" refreshedVersion="6" background="1" saveData="1">
    <webPr sourceData="1" parsePre="1" consecutive="1" xl2000="1" url="https://fantasydata.com/nfl-stats/fantasy-football-weekly-projections.aspx?fs=0&amp;stype=0&amp;sn=0&amp;scope=0&amp;w=0&amp;ew=0&amp;s=&amp;t=25&amp;p=6&amp;st=FantasyPointsPPR&amp;d=1&amp;ls=&amp;live=false&amp;pid=true&amp;minsnaps=4"/>
  </connection>
  <connection id="97" name="Connection185" type="4" refreshedVersion="6" background="1" saveData="1">
    <webPr sourceData="1" parsePre="1" consecutive="1" xl2000="1" url="https://fantasydata.com/nfl-stats/fantasy-football-weekly-projections.aspx?fs=0&amp;stype=0&amp;sn=0&amp;scope=0&amp;w=0&amp;ew=0&amp;s=&amp;t=26&amp;p=6&amp;st=FantasyPointsPPR&amp;d=1&amp;ls=&amp;live=false&amp;pid=true&amp;minsnaps=4"/>
  </connection>
  <connection id="98" name="Connection186" type="4" refreshedVersion="6" background="1" saveData="1">
    <webPr sourceData="1" parsePre="1" consecutive="1" xl2000="1" url="https://fantasydata.com/nfl-stats/fantasy-football-weekly-projections.aspx?fs=0&amp;stype=0&amp;sn=0&amp;scope=0&amp;w=0&amp;ew=0&amp;s=&amp;t=27&amp;p=1&amp;st=FantasyPointsPPR&amp;d=1&amp;ls=&amp;live=false&amp;pid=true&amp;minsnaps=4"/>
  </connection>
  <connection id="99" name="Connection187" type="4" refreshedVersion="6" background="1" saveData="1">
    <webPr sourceData="1" parsePre="1" consecutive="1" xl2000="1" url="https://fantasydata.com/nfl-stats/fantasy-football-weekly-projections.aspx?fs=0&amp;stype=0&amp;sn=0&amp;scope=0&amp;w=0&amp;ew=0&amp;s=&amp;t=28&amp;p=1&amp;st=FantasyPointsPPR&amp;d=1&amp;ls=&amp;live=false&amp;pid=true&amp;minsnaps=4"/>
  </connection>
  <connection id="100" name="Connection188" type="4" refreshedVersion="6" background="1" saveData="1">
    <webPr sourceData="1" parsePre="1" consecutive="1" xl2000="1" url="https://fantasydata.com/nfl-stats/fantasy-football-weekly-projections.aspx?fs=0&amp;stype=0&amp;sn=0&amp;scope=0&amp;w=0&amp;ew=0&amp;s=&amp;t=29&amp;p=1&amp;st=FantasyPointsPPR&amp;d=1&amp;ls=&amp;live=false&amp;pid=true&amp;minsnaps=4"/>
  </connection>
  <connection id="101" name="Connection189" type="4" refreshedVersion="6" background="1" saveData="1">
    <webPr sourceData="1" parsePre="1" consecutive="1" xl2000="1" url="https://fantasydata.com/nfl-stats/fantasy-football-weekly-projections.aspx?fs=0&amp;stype=0&amp;sn=0&amp;scope=0&amp;w=0&amp;ew=0&amp;s=&amp;t=30&amp;p=1&amp;st=FantasyPointsPPR&amp;d=1&amp;ls=&amp;live=false&amp;pid=true&amp;minsnaps=4"/>
  </connection>
  <connection id="102" name="Connection19" type="4" refreshedVersion="6" background="1" saveData="1">
    <webPr sourceData="1" parsePre="1" consecutive="1" xl2000="1" url="https://fantasydata.com/nfl-stats/fantasy-football-weekly-projections.aspx?fs=0&amp;stype=0&amp;sn=0&amp;scope=0&amp;w=0&amp;ew=0&amp;s=&amp;t=25&amp;p=1&amp;st=FantasyPoints&amp;d=1&amp;ls=&amp;live=false&amp;pid=true&amp;minsnaps=4"/>
  </connection>
  <connection id="103" name="Connection190" type="4" refreshedVersion="6" background="1" saveData="1">
    <webPr sourceData="1" parsePre="1" consecutive="1" xl2000="1" url="https://fantasydata.com/nfl-stats/fantasy-football-weekly-projections.aspx?fs=0&amp;stype=0&amp;sn=0&amp;scope=0&amp;w=0&amp;ew=0&amp;s=&amp;t=31&amp;p=1&amp;st=FantasyPointsPPR&amp;d=1&amp;ls=&amp;live=false&amp;pid=true&amp;minsnaps=4"/>
  </connection>
  <connection id="104" name="Connection191" type="4" refreshedVersion="6" background="1" saveData="1">
    <webPr sourceData="1" parsePre="1" consecutive="1" xl2000="1" url="https://fantasydata.com/nfl-stats/fantasy-football-weekly-projections.aspx?fs=0&amp;stype=0&amp;sn=0&amp;scope=0&amp;w=0&amp;ew=0&amp;s=&amp;t=32&amp;p=1&amp;st=FantasyPointsPPR&amp;d=1&amp;ls=&amp;live=false&amp;pid=true&amp;minsnaps=4"/>
  </connection>
  <connection id="105" name="Connection192" type="4" refreshedVersion="6" background="1" saveData="1">
    <webPr sourceData="1" parsePre="1" consecutive="1" xl2000="1" url="https://fantasydata.com/nfl-stats/fantasy-football-weekly-projections.aspx?fs=0&amp;stype=0&amp;sn=0&amp;scope=0&amp;w=0&amp;ew=0&amp;s=&amp;t=27&amp;p=2&amp;st=FantasyPointsPPR&amp;d=1&amp;ls=&amp;live=false&amp;pid=true&amp;minsnaps=4"/>
  </connection>
  <connection id="106" name="Connection193" type="4" refreshedVersion="6" background="1" saveData="1">
    <webPr sourceData="1" parsePre="1" consecutive="1" xl2000="1" url="https://fantasydata.com/nfl-stats/fantasy-football-weekly-projections.aspx?fs=0&amp;stype=0&amp;sn=0&amp;scope=0&amp;w=0&amp;ew=0&amp;s=&amp;t=28&amp;p=2&amp;st=FantasyPointsPPR&amp;d=1&amp;ls=&amp;live=false&amp;pid=true&amp;minsnaps=4"/>
  </connection>
  <connection id="107" name="Connection194" type="4" refreshedVersion="6" background="1" saveData="1">
    <webPr sourceData="1" parsePre="1" consecutive="1" xl2000="1" url="https://fantasydata.com/nfl-stats/fantasy-football-weekly-projections.aspx?fs=0&amp;stype=0&amp;sn=0&amp;scope=0&amp;w=0&amp;ew=0&amp;s=&amp;t=29&amp;p=2&amp;st=FantasyPointsPPR&amp;d=1&amp;ls=&amp;live=false&amp;pid=true&amp;minsnaps=4"/>
  </connection>
  <connection id="108" name="Connection195" type="4" refreshedVersion="6" background="1" saveData="1">
    <webPr sourceData="1" parsePre="1" consecutive="1" xl2000="1" url="https://fantasydata.com/nfl-stats/fantasy-football-weekly-projections.aspx?fs=0&amp;stype=0&amp;sn=0&amp;scope=0&amp;w=0&amp;ew=0&amp;s=&amp;t=30&amp;p=2&amp;st=FantasyPointsPPR&amp;d=1&amp;ls=&amp;live=false&amp;pid=true&amp;minsnaps=4"/>
  </connection>
  <connection id="109" name="Connection196" type="4" refreshedVersion="6" background="1" saveData="1">
    <webPr sourceData="1" parsePre="1" consecutive="1" xl2000="1" url="https://fantasydata.com/nfl-stats/fantasy-football-weekly-projections.aspx?fs=0&amp;stype=0&amp;sn=0&amp;scope=0&amp;w=0&amp;ew=0&amp;s=&amp;t=31&amp;p=2&amp;st=FantasyPointsPPR&amp;d=1&amp;ls=&amp;live=false&amp;pid=true&amp;minsnaps=4"/>
  </connection>
  <connection id="110" name="Connection197" type="4" refreshedVersion="6" background="1" saveData="1">
    <webPr sourceData="1" parsePre="1" consecutive="1" xl2000="1" url="https://fantasydata.com/nfl-stats/fantasy-football-weekly-projections.aspx?fs=0&amp;stype=0&amp;sn=0&amp;scope=0&amp;w=0&amp;ew=0&amp;s=&amp;t=32&amp;p=2&amp;st=FantasyPointsPPR&amp;d=1&amp;ls=&amp;live=false&amp;pid=true&amp;minsnaps=4"/>
  </connection>
  <connection id="111" name="Connection198" type="4" refreshedVersion="6" background="1" saveData="1">
    <webPr sourceData="1" parsePre="1" consecutive="1" xl2000="1" url="https://fantasydata.com/nfl-stats/fantasy-football-weekly-projections.aspx?fs=0&amp;stype=0&amp;sn=0&amp;scope=0&amp;w=0&amp;ew=0&amp;s=&amp;t=27&amp;p=3&amp;st=FantasyPointsPPR&amp;d=1&amp;ls=&amp;live=false&amp;pid=true&amp;minsnaps=4"/>
  </connection>
  <connection id="112" name="Connection199" type="4" refreshedVersion="6" background="1" saveData="1">
    <webPr sourceData="1" parsePre="1" consecutive="1" xl2000="1" url="https://fantasydata.com/nfl-stats/fantasy-football-weekly-projections.aspx?fs=0&amp;stype=0&amp;sn=0&amp;scope=0&amp;w=0&amp;ew=0&amp;s=&amp;t=28&amp;p=3&amp;st=FantasyPointsPPR&amp;d=1&amp;ls=&amp;live=false&amp;pid=true&amp;minsnaps=4"/>
  </connection>
  <connection id="113" name="Connection2" type="4" refreshedVersion="6" background="1" saveData="1">
    <webPr sourceData="1" parsePre="1" consecutive="1" xl2000="1" url="https://fantasydata.com/nfl-stats/fantasy-football-weekly-projections.aspx?fs=0&amp;stype=0&amp;sn=0&amp;scope=0&amp;w=0&amp;ew=0&amp;s=&amp;t=1&amp;p=1&amp;st=FantasyPointsPPR&amp;d=1&amp;ls=&amp;live=false&amp;pid=true&amp;minsnaps=4"/>
  </connection>
  <connection id="114" name="Connection20" type="4" refreshedVersion="6" background="1" saveData="1">
    <webPr sourceData="1" parsePre="1" consecutive="1" xl2000="1" url="https://fantasydata.com/nfl-stats/fantasy-football-weekly-projections.aspx?fs=0&amp;stype=0&amp;sn=0&amp;scope=0&amp;w=0&amp;ew=0&amp;s=&amp;t=25&amp;p=2&amp;st=FantasyPoints&amp;d=1&amp;ls=&amp;live=false&amp;pid=true&amp;minsnaps=4"/>
  </connection>
  <connection id="115" name="Connection200" type="4" refreshedVersion="6" background="1" saveData="1">
    <webPr sourceData="1" parsePre="1" consecutive="1" xl2000="1" url="https://fantasydata.com/nfl-stats/fantasy-football-weekly-projections.aspx?fs=0&amp;stype=0&amp;sn=0&amp;scope=0&amp;w=0&amp;ew=0&amp;s=&amp;t=29&amp;p=3&amp;st=FantasyPointsPPR&amp;d=1&amp;ls=&amp;live=false&amp;pid=true&amp;minsnaps=4"/>
  </connection>
  <connection id="116" name="Connection201" type="4" refreshedVersion="6" background="1" saveData="1">
    <webPr sourceData="1" parsePre="1" consecutive="1" xl2000="1" url="https://fantasydata.com/nfl-stats/fantasy-football-weekly-projections.aspx?fs=0&amp;stype=0&amp;sn=0&amp;scope=0&amp;w=0&amp;ew=0&amp;s=&amp;t=30&amp;p=3&amp;st=FantasyPointsPPR&amp;d=1&amp;ls=&amp;live=false&amp;pid=true&amp;minsnaps=4"/>
  </connection>
  <connection id="117" name="Connection202" type="4" refreshedVersion="6" background="1" saveData="1">
    <webPr sourceData="1" parsePre="1" consecutive="1" xl2000="1" url="https://fantasydata.com/nfl-stats/fantasy-football-weekly-projections.aspx?fs=0&amp;stype=0&amp;sn=0&amp;scope=0&amp;w=0&amp;ew=0&amp;s=&amp;t=31&amp;p=3&amp;st=FantasyPointsPPR&amp;d=1&amp;ls=&amp;live=false&amp;pid=true&amp;minsnaps=4"/>
  </connection>
  <connection id="118" name="Connection203" type="4" refreshedVersion="6" background="1" saveData="1">
    <webPr sourceData="1" parsePre="1" consecutive="1" xl2000="1" url="https://fantasydata.com/nfl-stats/fantasy-football-weekly-projections.aspx?fs=0&amp;stype=0&amp;sn=0&amp;scope=0&amp;w=0&amp;ew=0&amp;s=&amp;t=32&amp;p=3&amp;st=FantasyPointsPPR&amp;d=1&amp;ls=&amp;live=false&amp;pid=true&amp;minsnaps=4"/>
  </connection>
  <connection id="119" name="Connection204" type="4" refreshedVersion="6" background="1" saveData="1">
    <webPr sourceData="1" parsePre="1" consecutive="1" xl2000="1" url="https://fantasydata.com/nfl-stats/fantasy-football-weekly-projections.aspx?fs=0&amp;stype=0&amp;sn=0&amp;scope=0&amp;w=0&amp;ew=0&amp;s=&amp;t=27&amp;p=4&amp;st=FantasyPointsPPR&amp;d=1&amp;ls=&amp;live=false&amp;pid=true&amp;minsnaps=4"/>
  </connection>
  <connection id="120" name="Connection205" type="4" refreshedVersion="6" background="1" saveData="1">
    <webPr sourceData="1" parsePre="1" consecutive="1" xl2000="1" url="https://fantasydata.com/nfl-stats/fantasy-football-weekly-projections.aspx?fs=0&amp;stype=0&amp;sn=0&amp;scope=0&amp;w=0&amp;ew=0&amp;s=&amp;t=28&amp;p=4&amp;st=FantasyPointsPPR&amp;d=1&amp;ls=&amp;live=false&amp;pid=true&amp;minsnaps=4"/>
  </connection>
  <connection id="121" name="Connection206" type="4" refreshedVersion="6" background="1" saveData="1">
    <webPr sourceData="1" parsePre="1" consecutive="1" xl2000="1" url="https://fantasydata.com/nfl-stats/fantasy-football-weekly-projections.aspx?fs=0&amp;stype=0&amp;sn=0&amp;scope=0&amp;w=0&amp;ew=0&amp;s=&amp;t=29&amp;p=4&amp;st=FantasyPointsPPR&amp;d=1&amp;ls=&amp;live=false&amp;pid=true&amp;minsnaps=4"/>
  </connection>
  <connection id="122" name="Connection207" type="4" refreshedVersion="6" background="1" saveData="1">
    <webPr sourceData="1" parsePre="1" consecutive="1" xl2000="1" url="https://fantasydata.com/nfl-stats/fantasy-football-weekly-projections.aspx?fs=0&amp;stype=0&amp;sn=0&amp;scope=0&amp;w=0&amp;ew=0&amp;s=&amp;t=30&amp;p=4&amp;st=FantasyPointsPPR&amp;d=1&amp;ls=&amp;live=false&amp;pid=true&amp;minsnaps=4"/>
  </connection>
  <connection id="123" name="Connection208" type="4" refreshedVersion="6" background="1" saveData="1">
    <webPr sourceData="1" parsePre="1" consecutive="1" xl2000="1" url="https://fantasydata.com/nfl-stats/fantasy-football-weekly-projections.aspx?fs=0&amp;stype=0&amp;sn=0&amp;scope=0&amp;w=0&amp;ew=0&amp;s=&amp;t=31&amp;p=4&amp;st=FantasyPointsPPR&amp;d=1&amp;ls=&amp;live=false&amp;pid=true&amp;minsnaps=4"/>
  </connection>
  <connection id="124" name="Connection209" type="4" refreshedVersion="6" background="1" saveData="1">
    <webPr sourceData="1" parsePre="1" consecutive="1" xl2000="1" url="https://fantasydata.com/nfl-stats/fantasy-football-weekly-projections.aspx?fs=0&amp;stype=0&amp;sn=0&amp;scope=0&amp;w=0&amp;ew=0&amp;s=&amp;t=32&amp;p=4&amp;st=FantasyPointsPPR&amp;d=1&amp;ls=&amp;live=false&amp;pid=true&amp;minsnaps=4"/>
  </connection>
  <connection id="125" name="Connection21" type="4" refreshedVersion="6" background="1" saveData="1">
    <webPr sourceData="1" parsePre="1" consecutive="1" xl2000="1" url="https://fantasydata.com/nfl-stats/fantasy-football-weekly-projections.aspx?fs=0&amp;stype=0&amp;sn=0&amp;scope=0&amp;w=0&amp;ew=0&amp;s=&amp;t=25&amp;p=3&amp;st=FantasyPoints&amp;d=1&amp;ls=&amp;live=false&amp;pid=true&amp;minsnaps=4"/>
  </connection>
  <connection id="126" name="Connection210" type="4" refreshedVersion="6" background="1" saveData="1">
    <webPr sourceData="1" parsePre="1" consecutive="1" xl2000="1" url="https://fantasydata.com/nfl-stats/fantasy-football-weekly-projections.aspx?fs=0&amp;stype=0&amp;sn=0&amp;scope=0&amp;w=0&amp;ew=0&amp;s=&amp;t=27&amp;p=5&amp;st=FantasyPointsPPR&amp;d=1&amp;ls=&amp;live=false&amp;pid=true&amp;minsnaps=4"/>
  </connection>
  <connection id="127" name="Connection211" type="4" refreshedVersion="6" background="1" saveData="1">
    <webPr sourceData="1" parsePre="1" consecutive="1" xl2000="1" url="https://fantasydata.com/nfl-stats/fantasy-football-weekly-projections.aspx?fs=0&amp;stype=0&amp;sn=0&amp;scope=0&amp;w=0&amp;ew=0&amp;s=&amp;t=28&amp;p=5&amp;st=FantasyPointsPPR&amp;d=1&amp;ls=&amp;live=false&amp;pid=true&amp;minsnaps=4"/>
  </connection>
  <connection id="128" name="Connection212" type="4" refreshedVersion="6" background="1" saveData="1">
    <webPr sourceData="1" parsePre="1" consecutive="1" xl2000="1" url="https://fantasydata.com/nfl-stats/fantasy-football-weekly-projections.aspx?fs=0&amp;stype=0&amp;sn=0&amp;scope=0&amp;w=0&amp;ew=0&amp;s=&amp;t=29&amp;p=5&amp;st=FantasyPointsPPR&amp;d=1&amp;ls=&amp;live=false&amp;pid=true&amp;minsnaps=4"/>
  </connection>
  <connection id="129" name="Connection213" type="4" refreshedVersion="6" background="1" saveData="1">
    <webPr sourceData="1" parsePre="1" consecutive="1" xl2000="1" url="https://fantasydata.com/nfl-stats/fantasy-football-weekly-projections.aspx?fs=0&amp;stype=0&amp;sn=0&amp;scope=0&amp;w=0&amp;ew=0&amp;s=&amp;t=30&amp;p=5&amp;st=FantasyPointsPPR&amp;d=1&amp;ls=&amp;live=false&amp;pid=true&amp;minsnaps=4"/>
  </connection>
  <connection id="130" name="Connection214" type="4" refreshedVersion="6" background="1" saveData="1">
    <webPr sourceData="1" parsePre="1" consecutive="1" xl2000="1" url="https://fantasydata.com/nfl-stats/fantasy-football-weekly-projections.aspx?fs=0&amp;stype=0&amp;sn=0&amp;scope=0&amp;w=0&amp;ew=0&amp;s=&amp;t=31&amp;p=5&amp;st=FantasyPointsPPR&amp;d=1&amp;ls=&amp;live=false&amp;pid=true&amp;minsnaps=4"/>
  </connection>
  <connection id="131" name="Connection215" type="4" refreshedVersion="6" background="1" saveData="1">
    <webPr sourceData="1" parsePre="1" consecutive="1" xl2000="1" url="https://fantasydata.com/nfl-stats/fantasy-football-weekly-projections.aspx?fs=0&amp;stype=0&amp;sn=0&amp;scope=0&amp;w=0&amp;ew=0&amp;s=&amp;t=32&amp;p=5&amp;st=FantasyPointsPPR&amp;d=1&amp;ls=&amp;live=false&amp;pid=true&amp;minsnaps=4"/>
  </connection>
  <connection id="132" name="Connection216" type="4" refreshedVersion="6" background="1" saveData="1">
    <webPr sourceData="1" parsePre="1" consecutive="1" xl2000="1" url="https://fantasydata.com/nfl-stats/fantasy-football-weekly-projections.aspx?fs=0&amp;stype=0&amp;sn=0&amp;scope=0&amp;w=0&amp;ew=0&amp;s=&amp;t=27&amp;p=6&amp;st=FantasyPointsPPR&amp;d=1&amp;ls=&amp;live=false&amp;pid=true&amp;minsnaps=4"/>
  </connection>
  <connection id="133" name="Connection217" type="4" refreshedVersion="6" background="1" saveData="1">
    <webPr sourceData="1" parsePre="1" consecutive="1" xl2000="1" url="https://fantasydata.com/nfl-stats/fantasy-football-weekly-projections.aspx?fs=0&amp;stype=0&amp;sn=0&amp;scope=0&amp;w=0&amp;ew=0&amp;s=&amp;t=28&amp;p=6&amp;st=FantasyPointsPPR&amp;d=1&amp;ls=&amp;live=false&amp;pid=true&amp;minsnaps=4"/>
  </connection>
  <connection id="134" name="Connection218" type="4" refreshedVersion="6" background="1" saveData="1">
    <webPr sourceData="1" parsePre="1" consecutive="1" xl2000="1" url="https://fantasydata.com/nfl-stats/fantasy-football-weekly-projections.aspx?fs=0&amp;stype=0&amp;sn=0&amp;scope=0&amp;w=0&amp;ew=0&amp;s=&amp;t=29&amp;p=6&amp;st=FantasyPointsPPR&amp;d=1&amp;ls=&amp;live=false&amp;pid=true&amp;minsnaps=4"/>
  </connection>
  <connection id="135" name="Connection219" type="4" refreshedVersion="6" background="1" saveData="1">
    <webPr sourceData="1" parsePre="1" consecutive="1" xl2000="1" url="https://fantasydata.com/nfl-stats/fantasy-football-weekly-projections.aspx?fs=0&amp;stype=0&amp;sn=0&amp;scope=0&amp;w=0&amp;ew=0&amp;s=&amp;t=30&amp;p=6&amp;st=FantasyPointsPPR&amp;d=1&amp;ls=&amp;live=false&amp;pid=true&amp;minsnaps=4"/>
  </connection>
  <connection id="136" name="Connection22" type="4" refreshedVersion="6" background="1" saveData="1">
    <webPr sourceData="1" parsePre="1" consecutive="1" xl2000="1" url="https://fantasydata.com/nfl-stats/fantasy-football-weekly-projections.aspx?fs=0&amp;stype=0&amp;sn=0&amp;scope=0&amp;w=0&amp;ew=0&amp;s=&amp;t=25&amp;p=4&amp;st=FantasyPoints&amp;d=1&amp;ls=&amp;live=false&amp;pid=true&amp;minsnaps=4"/>
  </connection>
  <connection id="137" name="Connection220" type="4" refreshedVersion="6" background="1" saveData="1">
    <webPr sourceData="1" parsePre="1" consecutive="1" xl2000="1" url="https://fantasydata.com/nfl-stats/fantasy-football-weekly-projections.aspx?fs=0&amp;stype=0&amp;sn=0&amp;scope=0&amp;w=0&amp;ew=0&amp;s=&amp;t=31&amp;p=6&amp;st=FantasyPointsPPR&amp;d=1&amp;ls=&amp;live=false&amp;pid=true&amp;minsnaps=4"/>
  </connection>
  <connection id="138" name="Connection221" type="4" refreshedVersion="6" background="1" saveData="1">
    <webPr sourceData="1" parsePre="1" consecutive="1" xl2000="1" url="https://fantasydata.com/nfl-stats/fantasy-football-weekly-projections.aspx?fs=0&amp;stype=0&amp;sn=0&amp;scope=0&amp;w=0&amp;ew=0&amp;s=&amp;t=32&amp;p=6&amp;st=FantasyPointsPPR&amp;d=1&amp;ls=&amp;live=false&amp;pid=true&amp;minsnaps=4"/>
  </connection>
  <connection id="139" name="Connection23" type="4" refreshedVersion="6" background="1" saveData="1">
    <webPr sourceData="1" parsePre="1" consecutive="1" xl2000="1" url="https://fantasydata.com/nfl-stats/fantasy-football-weekly-projections.aspx?fs=0&amp;stype=0&amp;sn=0&amp;scope=0&amp;w=0&amp;ew=0&amp;s=&amp;t=25&amp;p=6&amp;st=FantasyPoints&amp;d=1&amp;ls=&amp;live=false&amp;pid=true&amp;minsnaps=4"/>
  </connection>
  <connection id="140" name="Connection24" type="4" refreshedVersion="6" background="1" saveData="1">
    <webPr sourceData="1" parsePre="1" consecutive="1" xl2000="1" url="https://fantasydata.com/nfl-stats/fantasy-football-weekly-projections.aspx?fs=0&amp;stype=0&amp;sn=0&amp;scope=0&amp;w=0&amp;ew=0&amp;s=&amp;t=25&amp;p=1&amp;st=FantasyPointsPPR&amp;d=1&amp;ls=&amp;live=false&amp;pid=true&amp;minsnaps=4"/>
  </connection>
  <connection id="141" name="Connection25" type="4" refreshedVersion="6" background="1" saveData="1">
    <webPr sourceData="1" parsePre="1" consecutive="1" xl2000="1" url="https://fantasydata.com/nfl-stats/fantasy-football-weekly-projections.aspx?fs=0&amp;stype=0&amp;sn=0&amp;scope=0&amp;w=0&amp;ew=0&amp;s=&amp;t=25&amp;p=2&amp;st=FantasyPointsPPR&amp;d=1&amp;ls=&amp;live=false&amp;pid=true&amp;minsnaps=4"/>
  </connection>
  <connection id="142" name="Connection26" type="4" refreshedVersion="6" background="1" saveData="1">
    <webPr sourceData="1" parsePre="1" consecutive="1" xl2000="1" url="https://fantasydata.com/nfl-stats/fantasy-football-weekly-projections.aspx?fs=0&amp;stype=0&amp;sn=0&amp;scope=0&amp;w=0&amp;ew=0&amp;s=&amp;t=25&amp;p=3&amp;st=FantasyPointsPPR&amp;d=1&amp;ls=&amp;live=false&amp;pid=true&amp;minsnaps=4"/>
  </connection>
  <connection id="143" name="Connection27" type="4" refreshedVersion="6" background="1" saveData="1">
    <webPr sourceData="1" parsePre="1" consecutive="1" xl2000="1" url="https://fantasydata.com/nfl-stats/fantasy-football-weekly-projections.aspx?fs=0&amp;stype=0&amp;sn=0&amp;scope=0&amp;w=0&amp;ew=0&amp;s=&amp;t=25&amp;p=1&amp;st=FantasyPointsPPR&amp;d=1&amp;ls=&amp;live=false&amp;pid=true&amp;minsnaps=4"/>
  </connection>
  <connection id="144" name="Connection28" type="4" refreshedVersion="6" background="1" saveData="1">
    <webPr sourceData="1" parsePre="1" consecutive="1" xl2000="1" url="https://fantasydata.com/nfl-stats/fantasy-football-weekly-projections.aspx?fs=0&amp;stype=0&amp;sn=0&amp;scope=0&amp;w=0&amp;ew=0&amp;s=&amp;t=25&amp;p=1&amp;st=FantasyPointsPPR&amp;d=1&amp;ls=&amp;live=false&amp;pid=true&amp;minsnaps=4"/>
  </connection>
  <connection id="145" name="Connection29" type="4" refreshedVersion="6" background="1" saveData="1">
    <webPr sourceData="1" parsePre="1" consecutive="1" xl2000="1" url="https://fantasydata.com/nfl-stats/fantasy-football-weekly-projections.aspx?fs=0&amp;stype=0&amp;sn=0&amp;scope=0&amp;w=0&amp;ew=0&amp;s=&amp;t=1&amp;p=1&amp;st=FantasyPointsPPR&amp;d=1&amp;ls=&amp;live=false&amp;pid=true&amp;minsnaps=4"/>
  </connection>
  <connection id="146" name="Connection3" type="4" refreshedVersion="6" background="1" saveData="1">
    <webPr sourceData="1" parsePre="1" consecutive="1" xl2000="1" url="https://fantasydata.com/nfl-stats/fantasy-football-weekly-projections.aspx?fs=0&amp;stype=0&amp;sn=0&amp;scope=0&amp;w=0&amp;ew=0&amp;s=&amp;t=1&amp;p=1&amp;st=FantasyPointsPPR&amp;d=1&amp;ls=&amp;live=false&amp;pid=true&amp;minsnaps=4"/>
  </connection>
  <connection id="147" name="Connection30" type="4" refreshedVersion="6" background="1" saveData="1">
    <webPr sourceData="1" parsePre="1" consecutive="1" xl2000="1" url="https://fantasydata.com/nfl-stats/fantasy-football-weekly-projections.aspx?fs=0&amp;stype=0&amp;sn=0&amp;scope=0&amp;w=0&amp;ew=0&amp;s=&amp;t=1&amp;p=1&amp;st=FantasyPointsPPR&amp;d=1&amp;ls=&amp;live=false&amp;pid=true&amp;minsnaps=4"/>
  </connection>
  <connection id="148" name="Connection31" type="4" refreshedVersion="6" background="1" saveData="1">
    <webPr sourceData="1" parsePre="1" consecutive="1" xl2000="1" url="https://fantasydata.com/nfl-stats/fantasy-football-weekly-projections.aspx?fs=0&amp;stype=0&amp;sn=0&amp;scope=0&amp;w=0&amp;ew=0&amp;s=&amp;t=1&amp;p=2&amp;st=FantasyPointsPPR&amp;d=1&amp;ls=&amp;live=false&amp;pid=true&amp;minsnaps=4"/>
  </connection>
  <connection id="149" name="Connection32" type="4" refreshedVersion="6" background="1" saveData="1">
    <webPr sourceData="1" parsePre="1" consecutive="1" xl2000="1" url="https://fantasydata.com/nfl-stats/fantasy-football-weekly-projections.aspx?fs=0&amp;stype=0&amp;sn=0&amp;scope=0&amp;w=0&amp;ew=0&amp;s=&amp;t=1&amp;p=3&amp;st=FantasyPointsPPR&amp;d=1&amp;ls=&amp;live=false&amp;pid=true&amp;minsnaps=4"/>
  </connection>
  <connection id="150" name="Connection33" type="4" refreshedVersion="6" background="1" saveData="1">
    <webPr sourceData="1" parsePre="1" consecutive="1" xl2000="1" url="https://fantasydata.com/nfl-stats/fantasy-football-weekly-projections.aspx?fs=0&amp;stype=0&amp;sn=0&amp;scope=0&amp;w=0&amp;ew=0&amp;s=&amp;t=1&amp;p=4&amp;st=FantasyPointsPPR&amp;d=1&amp;ls=&amp;live=false&amp;pid=true&amp;minsnaps=4"/>
  </connection>
  <connection id="151" name="Connection34" type="4" refreshedVersion="6" background="1" saveData="1">
    <webPr sourceData="1" parsePre="1" consecutive="1" xl2000="1" url="https://fantasydata.com/nfl-stats/fantasy-football-weekly-projections.aspx?fs=0&amp;stype=0&amp;sn=0&amp;scope=0&amp;w=0&amp;ew=0&amp;s=&amp;t=1&amp;p=5&amp;st=FantasyPointsPPR&amp;d=1&amp;ls=&amp;live=false&amp;pid=true&amp;minsnaps=4"/>
  </connection>
  <connection id="152" name="Connection35" type="4" refreshedVersion="6" background="1" saveData="1">
    <webPr sourceData="1" parsePre="1" consecutive="1" xl2000="1" url="https://fantasydata.com/nfl-stats/fantasy-football-weekly-projections.aspx?fs=0&amp;stype=0&amp;sn=0&amp;scope=0&amp;w=0&amp;ew=0&amp;s=&amp;t=1&amp;p=6&amp;st=FantasyPointsPPR&amp;d=1&amp;ls=&amp;live=false&amp;pid=true&amp;minsnaps=4"/>
  </connection>
  <connection id="153" name="Connection36" type="4" refreshedVersion="6" background="1" saveData="1">
    <webPr sourceData="1" parsePre="1" consecutive="1" xl2000="1" url="https://fantasydata.com/nfl-stats/fantasy-football-weekly-projections.aspx?fs=0&amp;stype=0&amp;sn=0&amp;scope=0&amp;w=0&amp;ew=0&amp;s=&amp;t=2&amp;p=1&amp;st=FantasyPointsPPR&amp;d=1&amp;ls=&amp;live=false&amp;pid=true&amp;minsnaps=4"/>
  </connection>
  <connection id="154" name="Connection37" type="4" refreshedVersion="6" background="1" saveData="1">
    <webPr sourceData="1" parsePre="1" consecutive="1" xl2000="1" url="https://fantasydata.com/nfl-stats/fantasy-football-weekly-projections.aspx?fs=0&amp;stype=0&amp;sn=0&amp;scope=0&amp;w=0&amp;ew=0&amp;s=&amp;t=3&amp;p=1&amp;st=FantasyPointsPPR&amp;d=1&amp;ls=&amp;live=false&amp;pid=true&amp;minsnaps=4"/>
  </connection>
  <connection id="155" name="Connection38" type="4" refreshedVersion="6" background="1" saveData="1">
    <webPr sourceData="1" parsePre="1" consecutive="1" xl2000="1" url="https://fantasydata.com/nfl-stats/fantasy-football-weekly-projections.aspx?fs=0&amp;stype=0&amp;sn=0&amp;scope=0&amp;w=0&amp;ew=0&amp;s=&amp;t=4&amp;p=1&amp;st=FantasyPointsPPR&amp;d=1&amp;ls=&amp;live=false&amp;pid=true&amp;minsnaps=4"/>
  </connection>
  <connection id="156" name="Connection39" type="4" refreshedVersion="6" background="1" saveData="1">
    <webPr sourceData="1" parsePre="1" consecutive="1" xl2000="1" url="https://fantasydata.com/nfl-stats/fantasy-football-weekly-projections.aspx?fs=0&amp;stype=0&amp;sn=0&amp;scope=0&amp;w=0&amp;ew=0&amp;s=&amp;t=5&amp;p=1&amp;st=FantasyPointsPPR&amp;d=1&amp;ls=&amp;live=false&amp;pid=true&amp;minsnaps=4"/>
  </connection>
  <connection id="157" name="Connection4" type="4" refreshedVersion="6" background="1" saveData="1">
    <webPr sourceData="1" parsePre="1" consecutive="1" xl2000="1" url="https://fantasydata.com/nfl-stats/fantasy-football-weekly-projections.aspx?fs=0&amp;stype=0&amp;sn=0&amp;scope=0&amp;w=0&amp;ew=0&amp;s=&amp;t=1&amp;p=1&amp;st=FantasyPointsPPR&amp;d=1&amp;ls=&amp;live=false&amp;pid=true&amp;minsnaps=4"/>
  </connection>
  <connection id="158" name="Connection40" type="4" refreshedVersion="6" background="1" saveData="1">
    <webPr sourceData="1" parsePre="1" consecutive="1" xl2000="1" url="https://fantasydata.com/nfl-stats/fantasy-football-weekly-projections.aspx?fs=0&amp;stype=0&amp;sn=0&amp;scope=0&amp;w=0&amp;ew=0&amp;s=&amp;t=2&amp;p=2&amp;st=FantasyPointsPPR&amp;d=1&amp;ls=&amp;live=false&amp;pid=true&amp;minsnaps=4"/>
  </connection>
  <connection id="159" name="Connection41" type="4" refreshedVersion="6" background="1" saveData="1">
    <webPr sourceData="1" parsePre="1" consecutive="1" xl2000="1" url="https://fantasydata.com/nfl-stats/fantasy-football-weekly-projections.aspx?fs=0&amp;stype=0&amp;sn=0&amp;scope=0&amp;w=0&amp;ew=0&amp;s=&amp;t=3&amp;p=2&amp;st=FantasyPointsPPR&amp;d=1&amp;ls=&amp;live=false&amp;pid=true&amp;minsnaps=4"/>
  </connection>
  <connection id="160" name="Connection42" type="4" refreshedVersion="6" background="1" saveData="1">
    <webPr sourceData="1" parsePre="1" consecutive="1" xl2000="1" url="https://fantasydata.com/nfl-stats/fantasy-football-weekly-projections.aspx?fs=0&amp;stype=0&amp;sn=0&amp;scope=0&amp;w=0&amp;ew=0&amp;s=&amp;t=4&amp;p=2&amp;st=FantasyPointsPPR&amp;d=1&amp;ls=&amp;live=false&amp;pid=true&amp;minsnaps=4"/>
  </connection>
  <connection id="161" name="Connection43" type="4" refreshedVersion="6" background="1" saveData="1">
    <webPr sourceData="1" parsePre="1" consecutive="1" xl2000="1" url="https://fantasydata.com/nfl-stats/fantasy-football-weekly-projections.aspx?fs=0&amp;stype=0&amp;sn=0&amp;scope=0&amp;w=0&amp;ew=0&amp;s=&amp;t=5&amp;p=2&amp;st=FantasyPointsPPR&amp;d=1&amp;ls=&amp;live=false&amp;pid=true&amp;minsnaps=4"/>
  </connection>
  <connection id="162" name="Connection44" type="4" refreshedVersion="6" background="1" saveData="1">
    <webPr sourceData="1" parsePre="1" consecutive="1" xl2000="1" url="https://fantasydata.com/nfl-stats/fantasy-football-weekly-projections.aspx?fs=0&amp;stype=0&amp;sn=0&amp;scope=0&amp;w=0&amp;ew=0&amp;s=&amp;t=2&amp;p=3&amp;st=FantasyPointsPPR&amp;d=1&amp;ls=&amp;live=false&amp;pid=true&amp;minsnaps=4"/>
  </connection>
  <connection id="163" name="Connection45" type="4" refreshedVersion="6" background="1" saveData="1">
    <webPr sourceData="1" parsePre="1" consecutive="1" xl2000="1" url="https://fantasydata.com/nfl-stats/fantasy-football-weekly-projections.aspx?fs=0&amp;stype=0&amp;sn=0&amp;scope=0&amp;w=0&amp;ew=0&amp;s=&amp;t=3&amp;p=3&amp;st=FantasyPointsPPR&amp;d=1&amp;ls=&amp;live=false&amp;pid=true&amp;minsnaps=4"/>
  </connection>
  <connection id="164" name="Connection46" type="4" refreshedVersion="6" background="1" saveData="1">
    <webPr sourceData="1" parsePre="1" consecutive="1" xl2000="1" url="https://fantasydata.com/nfl-stats/fantasy-football-weekly-projections.aspx?fs=0&amp;stype=0&amp;sn=0&amp;scope=0&amp;w=0&amp;ew=0&amp;s=&amp;t=4&amp;p=3&amp;st=FantasyPointsPPR&amp;d=1&amp;ls=&amp;live=false&amp;pid=true&amp;minsnaps=4"/>
  </connection>
  <connection id="165" name="Connection47" type="4" refreshedVersion="6" background="1" saveData="1">
    <webPr sourceData="1" parsePre="1" consecutive="1" xl2000="1" url="https://fantasydata.com/nfl-stats/fantasy-football-weekly-projections.aspx?fs=0&amp;stype=0&amp;sn=0&amp;scope=0&amp;w=0&amp;ew=0&amp;s=&amp;t=5&amp;p=3&amp;st=FantasyPointsPPR&amp;d=1&amp;ls=&amp;live=false&amp;pid=true&amp;minsnaps=4"/>
  </connection>
  <connection id="166" name="Connection48" type="4" refreshedVersion="6" background="1" saveData="1">
    <webPr sourceData="1" parsePre="1" consecutive="1" xl2000="1" url="https://fantasydata.com/nfl-stats/fantasy-football-weekly-projections.aspx?fs=0&amp;stype=0&amp;sn=0&amp;scope=0&amp;w=0&amp;ew=0&amp;s=&amp;t=2&amp;p=4&amp;st=FantasyPointsPPR&amp;d=1&amp;ls=&amp;live=false&amp;pid=true&amp;minsnaps=4"/>
  </connection>
  <connection id="167" name="Connection49" type="4" refreshedVersion="6" background="1" saveData="1">
    <webPr sourceData="1" parsePre="1" consecutive="1" xl2000="1" url="https://fantasydata.com/nfl-stats/fantasy-football-weekly-projections.aspx?fs=0&amp;stype=0&amp;sn=0&amp;scope=0&amp;w=0&amp;ew=0&amp;s=&amp;t=3&amp;p=4&amp;st=FantasyPointsPPR&amp;d=1&amp;ls=&amp;live=false&amp;pid=true&amp;minsnaps=4"/>
  </connection>
  <connection id="168" name="Connection5" type="4" refreshedVersion="6" background="1" saveData="1">
    <webPr sourceData="1" parsePre="1" consecutive="1" xl2000="1" url="https://fantasydata.com/nfl-stats/fantasy-football-weekly-projections.aspx?fs=0&amp;stype=0&amp;sn=0&amp;scope=0&amp;w=0&amp;ew=0&amp;s=&amp;t=1&amp;p=1&amp;st=FantasyPointsPPR&amp;d=1&amp;ls=&amp;live=false&amp;pid=true&amp;minsnaps=4"/>
  </connection>
  <connection id="169" name="Connection50" type="4" refreshedVersion="6" background="1" saveData="1">
    <webPr sourceData="1" parsePre="1" consecutive="1" xl2000="1" url="https://fantasydata.com/nfl-stats/fantasy-football-weekly-projections.aspx?fs=0&amp;stype=0&amp;sn=0&amp;scope=0&amp;w=0&amp;ew=0&amp;s=&amp;t=4&amp;p=4&amp;st=FantasyPointsPPR&amp;d=1&amp;ls=&amp;live=false&amp;pid=true&amp;minsnaps=4"/>
  </connection>
  <connection id="170" name="Connection51" type="4" refreshedVersion="6" background="1" saveData="1">
    <webPr sourceData="1" parsePre="1" consecutive="1" xl2000="1" url="https://fantasydata.com/nfl-stats/fantasy-football-weekly-projections.aspx?fs=0&amp;stype=0&amp;sn=0&amp;scope=0&amp;w=0&amp;ew=0&amp;s=&amp;t=5&amp;p=4&amp;st=FantasyPointsPPR&amp;d=1&amp;ls=&amp;live=false&amp;pid=true&amp;minsnaps=4"/>
  </connection>
  <connection id="171" name="Connection52" type="4" refreshedVersion="6" background="1" saveData="1">
    <webPr sourceData="1" parsePre="1" consecutive="1" xl2000="1" url="https://fantasydata.com/nfl-stats/fantasy-football-weekly-projections.aspx?fs=0&amp;stype=0&amp;sn=0&amp;scope=0&amp;w=0&amp;ew=0&amp;s=&amp;t=2&amp;p=5&amp;st=FantasyPointsPPR&amp;d=1&amp;ls=&amp;live=false&amp;pid=true&amp;minsnaps=4"/>
  </connection>
  <connection id="172" name="Connection53" type="4" refreshedVersion="6" background="1" saveData="1">
    <webPr sourceData="1" parsePre="1" consecutive="1" xl2000="1" url="https://fantasydata.com/nfl-stats/fantasy-football-weekly-projections.aspx?fs=0&amp;stype=0&amp;sn=0&amp;scope=0&amp;w=0&amp;ew=0&amp;s=&amp;t=3&amp;p=5&amp;st=FantasyPointsPPR&amp;d=1&amp;ls=&amp;live=false&amp;pid=true&amp;minsnaps=4"/>
  </connection>
  <connection id="173" name="Connection54" type="4" refreshedVersion="6" background="1" saveData="1">
    <webPr sourceData="1" parsePre="1" consecutive="1" xl2000="1" url="https://fantasydata.com/nfl-stats/fantasy-football-weekly-projections.aspx?fs=0&amp;stype=0&amp;sn=0&amp;scope=0&amp;w=0&amp;ew=0&amp;s=&amp;t=4&amp;p=5&amp;st=FantasyPointsPPR&amp;d=1&amp;ls=&amp;live=false&amp;pid=true&amp;minsnaps=4"/>
  </connection>
  <connection id="174" name="Connection55" type="4" refreshedVersion="6" background="1" saveData="1">
    <webPr sourceData="1" parsePre="1" consecutive="1" xl2000="1" url="https://fantasydata.com/nfl-stats/fantasy-football-weekly-projections.aspx?fs=0&amp;stype=0&amp;sn=0&amp;scope=0&amp;w=0&amp;ew=0&amp;s=&amp;t=5&amp;p=5&amp;st=FantasyPointsPPR&amp;d=1&amp;ls=&amp;live=false&amp;pid=true&amp;minsnaps=4"/>
  </connection>
  <connection id="175" name="Connection56" type="4" refreshedVersion="6" background="1" saveData="1">
    <webPr sourceData="1" parsePre="1" consecutive="1" xl2000="1" url="https://fantasydata.com/nfl-stats/fantasy-football-weekly-projections.aspx?fs=0&amp;stype=0&amp;sn=0&amp;scope=0&amp;w=0&amp;ew=0&amp;s=&amp;t=2&amp;p=6&amp;st=FantasyPointsPPR&amp;d=1&amp;ls=&amp;live=false&amp;pid=true&amp;minsnaps=4"/>
  </connection>
  <connection id="176" name="Connection57" type="4" refreshedVersion="6" background="1" saveData="1">
    <webPr sourceData="1" parsePre="1" consecutive="1" xl2000="1" url="https://fantasydata.com/nfl-stats/fantasy-football-weekly-projections.aspx?fs=0&amp;stype=0&amp;sn=0&amp;scope=0&amp;w=0&amp;ew=0&amp;s=&amp;t=3&amp;p=6&amp;st=FantasyPointsPPR&amp;d=1&amp;ls=&amp;live=false&amp;pid=true&amp;minsnaps=4"/>
  </connection>
  <connection id="177" name="Connection58" type="4" refreshedVersion="6" background="1" saveData="1">
    <webPr sourceData="1" parsePre="1" consecutive="1" xl2000="1" url="https://fantasydata.com/nfl-stats/fantasy-football-weekly-projections.aspx?fs=0&amp;stype=0&amp;sn=0&amp;scope=0&amp;w=0&amp;ew=0&amp;s=&amp;t=4&amp;p=6&amp;st=FantasyPointsPPR&amp;d=1&amp;ls=&amp;live=false&amp;pid=true&amp;minsnaps=4"/>
  </connection>
  <connection id="178" name="Connection59" type="4" refreshedVersion="6" background="1" saveData="1">
    <webPr sourceData="1" parsePre="1" consecutive="1" xl2000="1" url="https://fantasydata.com/nfl-stats/fantasy-football-weekly-projections.aspx?fs=0&amp;stype=0&amp;sn=0&amp;scope=0&amp;w=0&amp;ew=0&amp;s=&amp;t=5&amp;p=6&amp;st=FantasyPointsPPR&amp;d=1&amp;ls=&amp;live=false&amp;pid=true&amp;minsnaps=4"/>
  </connection>
  <connection id="179" name="Connection6" type="4" refreshedVersion="6" background="1" saveData="1">
    <webPr sourceData="1" parsePre="1" consecutive="1" xl2000="1" url="https://fantasydata.com/nfl-stats/fantasy-football-weekly-projections.aspx?fs=0&amp;stype=0&amp;sn=0&amp;scope=0&amp;w=0&amp;ew=0&amp;s=&amp;t=1&amp;p=1&amp;st=FantasyPointsPPR&amp;d=1&amp;ls=&amp;live=false&amp;pid=true&amp;minsnaps=4"/>
  </connection>
  <connection id="180" name="Connection60" type="4" refreshedVersion="6" background="1" saveData="1">
    <webPr sourceData="1" parsePre="1" consecutive="1" xl2000="1" url="https://fantasydata.com/nfl-stats/fantasy-football-weekly-projections.aspx?fs=0&amp;stype=0&amp;sn=0&amp;scope=0&amp;w=0&amp;ew=0&amp;s=&amp;t=6&amp;p=1&amp;st=FantasyPointsPPR&amp;d=1&amp;ls=&amp;live=false&amp;pid=true&amp;minsnaps=4"/>
  </connection>
  <connection id="181" name="Connection61" type="4" refreshedVersion="6" background="1" saveData="1">
    <webPr sourceData="1" parsePre="1" consecutive="1" xl2000="1" url="https://fantasydata.com/nfl-stats/fantasy-football-weekly-projections.aspx?fs=0&amp;stype=0&amp;sn=0&amp;scope=0&amp;w=0&amp;ew=0&amp;s=&amp;t=7&amp;p=1&amp;st=FantasyPointsPPR&amp;d=1&amp;ls=&amp;live=false&amp;pid=true&amp;minsnaps=4"/>
  </connection>
  <connection id="182" name="Connection62" type="4" refreshedVersion="6" background="1" saveData="1">
    <webPr sourceData="1" parsePre="1" consecutive="1" xl2000="1" url="https://fantasydata.com/nfl-stats/fantasy-football-weekly-projections.aspx?fs=0&amp;stype=0&amp;sn=0&amp;scope=0&amp;w=0&amp;ew=0&amp;s=&amp;t=8&amp;p=1&amp;st=FantasyPointsPPR&amp;d=1&amp;ls=&amp;live=false&amp;pid=true&amp;minsnaps=4"/>
  </connection>
  <connection id="183" name="Connection63" type="4" refreshedVersion="6" background="1" saveData="1">
    <webPr sourceData="1" parsePre="1" consecutive="1" xl2000="1" url="https://fantasydata.com/nfl-stats/fantasy-football-weekly-projections.aspx?fs=0&amp;stype=0&amp;sn=0&amp;scope=0&amp;w=0&amp;ew=0&amp;s=&amp;t=9&amp;p=1&amp;st=FantasyPointsPPR&amp;d=1&amp;ls=&amp;live=false&amp;pid=true&amp;minsnaps=4"/>
  </connection>
  <connection id="184" name="Connection64" type="4" refreshedVersion="6" background="1" saveData="1">
    <webPr sourceData="1" parsePre="1" consecutive="1" xl2000="1" url="https://fantasydata.com/nfl-stats/fantasy-football-weekly-projections.aspx?fs=0&amp;stype=0&amp;sn=0&amp;scope=0&amp;w=0&amp;ew=0&amp;s=&amp;t=10&amp;p=1&amp;st=FantasyPointsPPR&amp;d=1&amp;ls=&amp;live=false&amp;pid=true&amp;minsnaps=4"/>
  </connection>
  <connection id="185" name="Connection65" type="4" refreshedVersion="6" background="1" saveData="1">
    <webPr sourceData="1" parsePre="1" consecutive="1" xl2000="1" url="https://fantasydata.com/nfl-stats/fantasy-football-weekly-projections.aspx?fs=0&amp;stype=0&amp;sn=0&amp;scope=0&amp;w=0&amp;ew=0&amp;s=&amp;t=6&amp;p=2&amp;st=FantasyPointsPPR&amp;d=1&amp;ls=&amp;live=false&amp;pid=true&amp;minsnaps=4"/>
  </connection>
  <connection id="186" name="Connection66" type="4" refreshedVersion="6" background="1" saveData="1">
    <webPr sourceData="1" parsePre="1" consecutive="1" xl2000="1" url="https://fantasydata.com/nfl-stats/fantasy-football-weekly-projections.aspx?fs=0&amp;stype=0&amp;sn=0&amp;scope=0&amp;w=0&amp;ew=0&amp;s=&amp;t=7&amp;p=2&amp;st=FantasyPointsPPR&amp;d=1&amp;ls=&amp;live=false&amp;pid=true&amp;minsnaps=4"/>
  </connection>
  <connection id="187" name="Connection67" type="4" refreshedVersion="6" background="1" saveData="1">
    <webPr sourceData="1" parsePre="1" consecutive="1" xl2000="1" url="https://fantasydata.com/nfl-stats/fantasy-football-weekly-projections.aspx?fs=0&amp;stype=0&amp;sn=0&amp;scope=0&amp;w=0&amp;ew=0&amp;s=&amp;t=8&amp;p=2&amp;st=FantasyPointsPPR&amp;d=1&amp;ls=&amp;live=false&amp;pid=true&amp;minsnaps=4"/>
  </connection>
  <connection id="188" name="Connection68" type="4" refreshedVersion="6" background="1" saveData="1">
    <webPr sourceData="1" parsePre="1" consecutive="1" xl2000="1" url="https://fantasydata.com/nfl-stats/fantasy-football-weekly-projections.aspx?fs=0&amp;stype=0&amp;sn=0&amp;scope=0&amp;w=0&amp;ew=0&amp;s=&amp;t=9&amp;p=2&amp;st=FantasyPointsPPR&amp;d=1&amp;ls=&amp;live=false&amp;pid=true&amp;minsnaps=4"/>
  </connection>
  <connection id="189" name="Connection69" type="4" refreshedVersion="6" background="1" saveData="1">
    <webPr sourceData="1" parsePre="1" consecutive="1" xl2000="1" url="https://fantasydata.com/nfl-stats/fantasy-football-weekly-projections.aspx?fs=0&amp;stype=0&amp;sn=0&amp;scope=0&amp;w=0&amp;ew=0&amp;s=&amp;t=10&amp;p=2&amp;st=FantasyPointsPPR&amp;d=1&amp;ls=&amp;live=false&amp;pid=true&amp;minsnaps=4"/>
  </connection>
  <connection id="190" name="Connection7" type="4" refreshedVersion="6" background="1" saveData="1">
    <webPr sourceData="1" parsePre="1" consecutive="1" xl2000="1" url="https://fantasydata.com/nfl-stats/fantasy-football-weekly-projections.aspx?fs=0&amp;stype=0&amp;sn=0&amp;scope=0&amp;w=0&amp;ew=0&amp;s=&amp;t=25&amp;p=5&amp;st=FantasyPoints&amp;d=1&amp;ls=&amp;live=false&amp;pid=true&amp;minsnaps=4"/>
  </connection>
  <connection id="191" name="Connection70" type="4" refreshedVersion="6" background="1" saveData="1">
    <webPr sourceData="1" parsePre="1" consecutive="1" xl2000="1" url="https://fantasydata.com/nfl-stats/fantasy-football-weekly-projections.aspx?fs=0&amp;stype=0&amp;sn=0&amp;scope=0&amp;w=0&amp;ew=0&amp;s=&amp;t=6&amp;p=3&amp;st=FantasyPointsPPR&amp;d=1&amp;ls=&amp;live=false&amp;pid=true&amp;minsnaps=4"/>
  </connection>
  <connection id="192" name="Connection71" type="4" refreshedVersion="6" background="1" saveData="1">
    <webPr sourceData="1" parsePre="1" consecutive="1" xl2000="1" url="https://fantasydata.com/nfl-stats/fantasy-football-weekly-projections.aspx?fs=0&amp;stype=0&amp;sn=0&amp;scope=0&amp;w=0&amp;ew=0&amp;s=&amp;t=7&amp;p=3&amp;st=FantasyPointsPPR&amp;d=1&amp;ls=&amp;live=false&amp;pid=true&amp;minsnaps=4"/>
  </connection>
  <connection id="193" name="Connection72" type="4" refreshedVersion="6" background="1" saveData="1">
    <webPr sourceData="1" parsePre="1" consecutive="1" xl2000="1" url="https://fantasydata.com/nfl-stats/fantasy-football-weekly-projections.aspx?fs=0&amp;stype=0&amp;sn=0&amp;scope=0&amp;w=0&amp;ew=0&amp;s=&amp;t=8&amp;p=3&amp;st=FantasyPointsPPR&amp;d=1&amp;ls=&amp;live=false&amp;pid=true&amp;minsnaps=4"/>
  </connection>
  <connection id="194" name="Connection73" type="4" refreshedVersion="6" background="1" saveData="1">
    <webPr sourceData="1" parsePre="1" consecutive="1" xl2000="1" url="https://fantasydata.com/nfl-stats/fantasy-football-weekly-projections.aspx?fs=0&amp;stype=0&amp;sn=0&amp;scope=0&amp;w=0&amp;ew=0&amp;s=&amp;t=9&amp;p=3&amp;st=FantasyPointsPPR&amp;d=1&amp;ls=&amp;live=false&amp;pid=true&amp;minsnaps=4"/>
  </connection>
  <connection id="195" name="Connection74" type="4" refreshedVersion="6" background="1" saveData="1">
    <webPr sourceData="1" parsePre="1" consecutive="1" xl2000="1" url="https://fantasydata.com/nfl-stats/fantasy-football-weekly-projections.aspx?fs=0&amp;stype=0&amp;sn=0&amp;scope=0&amp;w=0&amp;ew=0&amp;s=&amp;t=10&amp;p=3&amp;st=FantasyPointsPPR&amp;d=1&amp;ls=&amp;live=false&amp;pid=true&amp;minsnaps=4"/>
  </connection>
  <connection id="196" name="Connection75" type="4" refreshedVersion="6" background="1" saveData="1">
    <webPr sourceData="1" parsePre="1" consecutive="1" xl2000="1" url="https://fantasydata.com/nfl-stats/fantasy-football-weekly-projections.aspx?fs=0&amp;stype=0&amp;sn=0&amp;scope=0&amp;w=0&amp;ew=0&amp;s=&amp;t=6&amp;p=4&amp;st=FantasyPointsPPR&amp;d=1&amp;ls=&amp;live=false&amp;pid=true&amp;minsnaps=4"/>
  </connection>
  <connection id="197" name="Connection76" type="4" refreshedVersion="6" background="1" saveData="1">
    <webPr sourceData="1" parsePre="1" consecutive="1" xl2000="1" url="https://fantasydata.com/nfl-stats/fantasy-football-weekly-projections.aspx?fs=0&amp;stype=0&amp;sn=0&amp;scope=0&amp;w=0&amp;ew=0&amp;s=&amp;t=7&amp;p=4&amp;st=FantasyPointsPPR&amp;d=1&amp;ls=&amp;live=false&amp;pid=true&amp;minsnaps=4"/>
  </connection>
  <connection id="198" name="Connection77" type="4" refreshedVersion="6" background="1" saveData="1">
    <webPr sourceData="1" parsePre="1" consecutive="1" xl2000="1" url="https://fantasydata.com/nfl-stats/fantasy-football-weekly-projections.aspx?fs=0&amp;stype=0&amp;sn=0&amp;scope=0&amp;w=0&amp;ew=0&amp;s=&amp;t=8&amp;p=4&amp;st=FantasyPointsPPR&amp;d=1&amp;ls=&amp;live=false&amp;pid=true&amp;minsnaps=4"/>
  </connection>
  <connection id="199" name="Connection78" type="4" refreshedVersion="6" background="1" saveData="1">
    <webPr sourceData="1" parsePre="1" consecutive="1" xl2000="1" url="https://fantasydata.com/nfl-stats/fantasy-football-weekly-projections.aspx?fs=0&amp;stype=0&amp;sn=0&amp;scope=0&amp;w=0&amp;ew=0&amp;s=&amp;t=9&amp;p=4&amp;st=FantasyPointsPPR&amp;d=1&amp;ls=&amp;live=false&amp;pid=true&amp;minsnaps=4"/>
  </connection>
  <connection id="200" name="Connection79" type="4" refreshedVersion="6" background="1" saveData="1">
    <webPr sourceData="1" parsePre="1" consecutive="1" xl2000="1" url="https://fantasydata.com/nfl-stats/fantasy-football-weekly-projections.aspx?fs=0&amp;stype=0&amp;sn=0&amp;scope=0&amp;w=0&amp;ew=0&amp;s=&amp;t=10&amp;p=4&amp;st=FantasyPointsPPR&amp;d=1&amp;ls=&amp;live=false&amp;pid=true&amp;minsnaps=4"/>
  </connection>
  <connection id="201" name="Connection8" type="4" refreshedVersion="6" background="1" saveData="1">
    <webPr sourceData="1" parsePre="1" consecutive="1" xl2000="1" url="https://fantasydata.com/nfl-stats/fantasy-football-weekly-projections.aspx?fs=0&amp;stype=0&amp;sn=0&amp;scope=0&amp;w=0&amp;ew=0&amp;s=&amp;t=25&amp;p=5&amp;st=FantasyPoints&amp;d=1&amp;ls=&amp;live=false&amp;pid=true&amp;minsnaps=4"/>
  </connection>
  <connection id="202" name="Connection80" type="4" refreshedVersion="6" background="1" saveData="1">
    <webPr sourceData="1" parsePre="1" consecutive="1" xl2000="1" url="https://fantasydata.com/nfl-stats/fantasy-football-weekly-projections.aspx?fs=0&amp;stype=0&amp;sn=0&amp;scope=0&amp;w=0&amp;ew=0&amp;s=&amp;t=6&amp;p=5&amp;st=FantasyPointsPPR&amp;d=1&amp;ls=&amp;live=false&amp;pid=true&amp;minsnaps=4"/>
  </connection>
  <connection id="203" name="Connection81" type="4" refreshedVersion="6" background="1" saveData="1">
    <webPr sourceData="1" parsePre="1" consecutive="1" xl2000="1" url="https://fantasydata.com/nfl-stats/fantasy-football-weekly-projections.aspx?fs=0&amp;stype=0&amp;sn=0&amp;scope=0&amp;w=0&amp;ew=0&amp;s=&amp;t=7&amp;p=5&amp;st=FantasyPointsPPR&amp;d=1&amp;ls=&amp;live=false&amp;pid=true&amp;minsnaps=4"/>
  </connection>
  <connection id="204" name="Connection82" type="4" refreshedVersion="6" background="1" saveData="1">
    <webPr sourceData="1" parsePre="1" consecutive="1" xl2000="1" url="https://fantasydata.com/nfl-stats/fantasy-football-weekly-projections.aspx?fs=0&amp;stype=0&amp;sn=0&amp;scope=0&amp;w=0&amp;ew=0&amp;s=&amp;t=8&amp;p=5&amp;st=FantasyPointsPPR&amp;d=1&amp;ls=&amp;live=false&amp;pid=true&amp;minsnaps=4"/>
  </connection>
  <connection id="205" name="Connection83" type="4" refreshedVersion="6" background="1" saveData="1">
    <webPr sourceData="1" parsePre="1" consecutive="1" xl2000="1" url="https://fantasydata.com/nfl-stats/fantasy-football-weekly-projections.aspx?fs=0&amp;stype=0&amp;sn=0&amp;scope=0&amp;w=0&amp;ew=0&amp;s=&amp;t=9&amp;p=5&amp;st=FantasyPointsPPR&amp;d=1&amp;ls=&amp;live=false&amp;pid=true&amp;minsnaps=4"/>
  </connection>
  <connection id="206" name="Connection84" type="4" refreshedVersion="6" background="1" saveData="1">
    <webPr sourceData="1" parsePre="1" consecutive="1" xl2000="1" url="https://fantasydata.com/nfl-stats/fantasy-football-weekly-projections.aspx?fs=0&amp;stype=0&amp;sn=0&amp;scope=0&amp;w=0&amp;ew=0&amp;s=&amp;t=10&amp;p=5&amp;st=FantasyPointsPPR&amp;d=1&amp;ls=&amp;live=false&amp;pid=true&amp;minsnaps=4"/>
  </connection>
  <connection id="207" name="Connection85" type="4" refreshedVersion="6" background="1" saveData="1">
    <webPr sourceData="1" parsePre="1" consecutive="1" xl2000="1" url="https://fantasydata.com/nfl-stats/fantasy-football-weekly-projections.aspx?fs=0&amp;stype=0&amp;sn=0&amp;scope=0&amp;w=0&amp;ew=0&amp;s=&amp;t=6&amp;p=6&amp;st=FantasyPointsPPR&amp;d=1&amp;ls=&amp;live=false&amp;pid=true&amp;minsnaps=4"/>
  </connection>
  <connection id="208" name="Connection86" type="4" refreshedVersion="6" background="1" saveData="1">
    <webPr sourceData="1" parsePre="1" consecutive="1" xl2000="1" url="https://fantasydata.com/nfl-stats/fantasy-football-weekly-projections.aspx?fs=0&amp;stype=0&amp;sn=0&amp;scope=0&amp;w=0&amp;ew=0&amp;s=&amp;t=7&amp;p=6&amp;st=FantasyPointsPPR&amp;d=1&amp;ls=&amp;live=false&amp;pid=true&amp;minsnaps=4"/>
  </connection>
  <connection id="209" name="Connection87" type="4" refreshedVersion="6" background="1" saveData="1">
    <webPr sourceData="1" parsePre="1" consecutive="1" xl2000="1" url="https://fantasydata.com/nfl-stats/fantasy-football-weekly-projections.aspx?fs=0&amp;stype=0&amp;sn=0&amp;scope=0&amp;w=0&amp;ew=0&amp;s=&amp;t=8&amp;p=6&amp;st=FantasyPointsPPR&amp;d=1&amp;ls=&amp;live=false&amp;pid=true&amp;minsnaps=4"/>
  </connection>
  <connection id="210" name="Connection88" type="4" refreshedVersion="6" background="1" saveData="1">
    <webPr sourceData="1" parsePre="1" consecutive="1" xl2000="1" url="https://fantasydata.com/nfl-stats/fantasy-football-weekly-projections.aspx?fs=0&amp;stype=0&amp;sn=0&amp;scope=0&amp;w=0&amp;ew=0&amp;s=&amp;t=9&amp;p=6&amp;st=FantasyPointsPPR&amp;d=1&amp;ls=&amp;live=false&amp;pid=true&amp;minsnaps=4"/>
  </connection>
  <connection id="211" name="Connection89" type="4" refreshedVersion="6" background="1" saveData="1">
    <webPr sourceData="1" parsePre="1" consecutive="1" xl2000="1" url="https://fantasydata.com/nfl-stats/fantasy-football-weekly-projections.aspx?fs=0&amp;stype=0&amp;sn=0&amp;scope=0&amp;w=0&amp;ew=0&amp;s=&amp;t=10&amp;p=6&amp;st=FantasyPointsPPR&amp;d=1&amp;ls=&amp;live=false&amp;pid=true&amp;minsnaps=4"/>
  </connection>
  <connection id="212" name="Connection9" type="4" refreshedVersion="6" background="1" saveData="1">
    <webPr sourceData="1" parsePre="1" consecutive="1" xl2000="1" url="https://fantasydata.com/nfl-stats/fantasy-football-weekly-projections.aspx?fs=0&amp;stype=0&amp;sn=0&amp;scope=0&amp;w=0&amp;ew=0&amp;s=&amp;t=25&amp;p=5&amp;st=FantasyPoints&amp;d=1&amp;ls=&amp;live=false&amp;pid=true&amp;minsnaps=4"/>
  </connection>
  <connection id="213" name="Connection90" type="4" refreshedVersion="6" background="1" saveData="1">
    <webPr sourceData="1" parsePre="1" consecutive="1" xl2000="1" url="https://fantasydata.com/nfl-stats/fantasy-football-weekly-projections.aspx?fs=0&amp;stype=0&amp;sn=0&amp;scope=0&amp;w=0&amp;ew=0&amp;s=&amp;t=11&amp;p=1&amp;st=FantasyPointsPPR&amp;d=1&amp;ls=&amp;live=false&amp;pid=true&amp;minsnaps=4"/>
  </connection>
  <connection id="214" name="Connection91" type="4" refreshedVersion="6" background="1" saveData="1">
    <webPr sourceData="1" parsePre="1" consecutive="1" xl2000="1" url="https://fantasydata.com/nfl-stats/fantasy-football-weekly-projections.aspx?fs=0&amp;stype=0&amp;sn=0&amp;scope=0&amp;w=0&amp;ew=0&amp;s=&amp;t=12&amp;p=1&amp;st=FantasyPointsPPR&amp;d=1&amp;ls=&amp;live=false&amp;pid=true&amp;minsnaps=4"/>
  </connection>
  <connection id="215" name="Connection92" type="4" refreshedVersion="6" background="1" saveData="1">
    <webPr sourceData="1" parsePre="1" consecutive="1" xl2000="1" url="https://fantasydata.com/nfl-stats/fantasy-football-weekly-projections.aspx?fs=0&amp;stype=0&amp;sn=0&amp;scope=0&amp;w=0&amp;ew=0&amp;s=&amp;t=13&amp;p=1&amp;st=FantasyPointsPPR&amp;d=1&amp;ls=&amp;live=false&amp;pid=true&amp;minsnaps=4"/>
  </connection>
  <connection id="216" name="Connection93" type="4" refreshedVersion="6" background="1" saveData="1">
    <webPr sourceData="1" parsePre="1" consecutive="1" xl2000="1" url="https://fantasydata.com/nfl-stats/fantasy-football-weekly-projections.aspx?fs=0&amp;stype=0&amp;sn=0&amp;scope=0&amp;w=0&amp;ew=0&amp;s=&amp;t=14&amp;p=1&amp;st=FantasyPointsPPR&amp;d=1&amp;ls=&amp;live=false&amp;pid=true&amp;minsnaps=4"/>
  </connection>
  <connection id="217" name="Connection94" type="4" refreshedVersion="6" background="1" saveData="1">
    <webPr sourceData="1" parsePre="1" consecutive="1" xl2000="1" url="https://fantasydata.com/nfl-stats/fantasy-football-weekly-projections.aspx?fs=0&amp;stype=0&amp;sn=0&amp;scope=0&amp;w=0&amp;ew=0&amp;s=&amp;t=15&amp;p=1&amp;st=FantasyPointsPPR&amp;d=1&amp;ls=&amp;live=false&amp;pid=true&amp;minsnaps=4"/>
  </connection>
  <connection id="218" name="Connection95" type="4" refreshedVersion="6" background="1" saveData="1">
    <webPr sourceData="1" parsePre="1" consecutive="1" xl2000="1" url="https://fantasydata.com/nfl-stats/fantasy-football-weekly-projections.aspx?fs=0&amp;stype=0&amp;sn=0&amp;scope=0&amp;w=0&amp;ew=0&amp;s=&amp;t=16&amp;p=1&amp;st=FantasyPointsPPR&amp;d=1&amp;ls=&amp;live=false&amp;pid=true&amp;minsnaps=4"/>
  </connection>
  <connection id="219" name="Connection96" type="4" refreshedVersion="6" background="1" saveData="1">
    <webPr sourceData="1" parsePre="1" consecutive="1" xl2000="1" url="https://fantasydata.com/nfl-stats/fantasy-football-weekly-projections.aspx?fs=0&amp;stype=0&amp;sn=0&amp;scope=0&amp;w=0&amp;ew=0&amp;s=&amp;t=17&amp;p=1&amp;st=FantasyPointsPPR&amp;d=1&amp;ls=&amp;live=false&amp;pid=true&amp;minsnaps=4"/>
  </connection>
  <connection id="220" name="Connection97" type="4" refreshedVersion="6" background="1" saveData="1">
    <webPr sourceData="1" parsePre="1" consecutive="1" xl2000="1" url="https://fantasydata.com/nfl-stats/fantasy-football-weekly-projections.aspx?fs=0&amp;stype=0&amp;sn=0&amp;scope=0&amp;w=0&amp;ew=0&amp;s=&amp;t=18&amp;p=1&amp;st=FantasyPointsPPR&amp;d=1&amp;ls=&amp;live=false&amp;pid=true&amp;minsnaps=4"/>
  </connection>
  <connection id="221" name="Connection98" type="4" refreshedVersion="6" background="1" saveData="1">
    <webPr sourceData="1" parsePre="1" consecutive="1" xl2000="1" url="https://fantasydata.com/nfl-stats/fantasy-football-weekly-projections.aspx?fs=0&amp;stype=0&amp;sn=0&amp;scope=0&amp;w=0&amp;ew=0&amp;s=&amp;t=19&amp;p=1&amp;st=FantasyPointsPPR&amp;d=1&amp;ls=&amp;live=false&amp;pid=true&amp;minsnaps=4"/>
  </connection>
  <connection id="222" name="Connection99" type="4" refreshedVersion="6" background="1" saveData="1">
    <webPr sourceData="1" parsePre="1" consecutive="1" xl2000="1" url="https://fantasydata.com/nfl-stats/fantasy-football-weekly-projections.aspx?fs=0&amp;stype=0&amp;sn=0&amp;scope=0&amp;w=0&amp;ew=0&amp;s=&amp;t=20&amp;p=1&amp;st=FantasyPointsPPR&amp;d=1&amp;ls=&amp;live=false&amp;pid=true&amp;minsnaps=4"/>
  </connection>
</connections>
</file>

<file path=xl/sharedStrings.xml><?xml version="1.0" encoding="utf-8"?>
<sst xmlns="http://schemas.openxmlformats.org/spreadsheetml/2006/main" count="4699" uniqueCount="915">
  <si>
    <t>FantasyData.com Logo</t>
  </si>
  <si>
    <t>+1 610.233.1333</t>
  </si>
  <si>
    <t xml:space="preserve">Login     Free Trial  </t>
  </si>
  <si>
    <t xml:space="preserve">NFL Stats </t>
  </si>
  <si>
    <t>Fantasy Stats</t>
  </si>
  <si>
    <t>Projected Stats</t>
  </si>
  <si>
    <t>Snap Counts</t>
  </si>
  <si>
    <t>DFS Salaries</t>
  </si>
  <si>
    <t>Injury Report</t>
  </si>
  <si>
    <t>IDP Stats</t>
  </si>
  <si>
    <t>ADP Rankings</t>
  </si>
  <si>
    <t>Points Allowed</t>
  </si>
  <si>
    <t>Scoring System</t>
  </si>
  <si>
    <t>Team Stats</t>
  </si>
  <si>
    <t>Scores</t>
  </si>
  <si>
    <t>Odds</t>
  </si>
  <si>
    <t>Team Rankings</t>
  </si>
  <si>
    <t>Depth Charts</t>
  </si>
  <si>
    <t>Standings</t>
  </si>
  <si>
    <t xml:space="preserve">Products </t>
  </si>
  <si>
    <t>Data Feeds</t>
  </si>
  <si>
    <t>Historical Data</t>
  </si>
  <si>
    <t>Hosted Products</t>
  </si>
  <si>
    <t>News Feeds</t>
  </si>
  <si>
    <t>Fantasy Games</t>
  </si>
  <si>
    <t xml:space="preserve">Pricing </t>
  </si>
  <si>
    <t>NFL</t>
  </si>
  <si>
    <t>MLB</t>
  </si>
  <si>
    <t>NBA</t>
  </si>
  <si>
    <t>NHL</t>
  </si>
  <si>
    <t>NCAA Football</t>
  </si>
  <si>
    <t>NCAA Basketball</t>
  </si>
  <si>
    <t>Soccer</t>
  </si>
  <si>
    <t>eSports</t>
  </si>
  <si>
    <t>Golf</t>
  </si>
  <si>
    <t>NASCAR</t>
  </si>
  <si>
    <t xml:space="preserve">Resources </t>
  </si>
  <si>
    <t>Getting Started</t>
  </si>
  <si>
    <t>Developer Portal</t>
  </si>
  <si>
    <t>Implementation Guide</t>
  </si>
  <si>
    <t>Data Dictionary</t>
  </si>
  <si>
    <t>Frameworks</t>
  </si>
  <si>
    <t>Content Lifecycle</t>
  </si>
  <si>
    <t>Fantasy Scoring</t>
  </si>
  <si>
    <t>Timeframes</t>
  </si>
  <si>
    <t>FAQ</t>
  </si>
  <si>
    <t xml:space="preserve">Contact </t>
  </si>
  <si>
    <t>NFL Fantasy Football Projected Stats &amp; Weekly Projections</t>
  </si>
  <si>
    <t xml:space="preserve">Scoring  </t>
  </si>
  <si>
    <t>Download File</t>
  </si>
  <si>
    <t>Player ID</t>
  </si>
  <si>
    <t>Rk</t>
  </si>
  <si>
    <t>ID</t>
  </si>
  <si>
    <t>Player</t>
  </si>
  <si>
    <t>Pos</t>
  </si>
  <si>
    <t>Team</t>
  </si>
  <si>
    <t>Gms</t>
  </si>
  <si>
    <t>FG Made</t>
  </si>
  <si>
    <t>FG Att</t>
  </si>
  <si>
    <t>Pct</t>
  </si>
  <si>
    <t>Long</t>
  </si>
  <si>
    <t>XP Made</t>
  </si>
  <si>
    <t>XP Att</t>
  </si>
  <si>
    <t>PPG</t>
  </si>
  <si>
    <t>Fantasy Points</t>
  </si>
  <si>
    <t>VisaMastercardDiscoverAmerican ExpressRackspaceFantasy Sports Trade AssociationVinfotech Sports</t>
  </si>
  <si>
    <t>NFL Stats</t>
  </si>
  <si>
    <t>Fantasy Rankings</t>
  </si>
  <si>
    <t>NFL Scores</t>
  </si>
  <si>
    <t>Products</t>
  </si>
  <si>
    <t>Pricing</t>
  </si>
  <si>
    <t>Real Time Data</t>
  </si>
  <si>
    <t>Post Game Data</t>
  </si>
  <si>
    <t>Company</t>
  </si>
  <si>
    <t>Careers</t>
  </si>
  <si>
    <t>Showcase</t>
  </si>
  <si>
    <t>Contact Us</t>
  </si>
  <si>
    <t>Terms of Service</t>
  </si>
  <si>
    <t>Privacy Policy</t>
  </si>
  <si>
    <t>Resources</t>
  </si>
  <si>
    <t>DFS Tools</t>
  </si>
  <si>
    <t>Salaries</t>
  </si>
  <si>
    <t>©2016 FantasyData LLC | All Rights Reserved</t>
  </si>
  <si>
    <t>designed by Vafour</t>
  </si>
  <si>
    <t>by Scott Gimpel</t>
  </si>
  <si>
    <t>FantasyData.com is an unofficial and independent source of information not affiliated with the National Football League (NFL), the NFLPA or any other affiliates. For official statistics, please visit NFL.com.</t>
  </si>
  <si>
    <t>Upgrade Now</t>
  </si>
  <si>
    <t>Upgrade to our Premium Membership for only $15/month and enjoy all these features.</t>
  </si>
  <si>
    <t>Export to Excel</t>
  </si>
  <si>
    <t>Access 300 hundred rows of stats at once</t>
  </si>
  <si>
    <t>Advanced snap count metrics</t>
  </si>
  <si>
    <t>Cancel any time</t>
  </si>
  <si>
    <t>Upgrade to our PremiumPlus Membership for only $59/month and enjoy all these features.</t>
  </si>
  <si>
    <t>Unlocks ALL rows</t>
  </si>
  <si>
    <t>Export complete reports to Excel</t>
  </si>
  <si>
    <t>Full database of snap counts</t>
  </si>
  <si>
    <t>✖</t>
  </si>
  <si>
    <t>Free Live Data Feeds</t>
  </si>
  <si>
    <t>Enter your email address and we'll send you free XML and JSON feeds.</t>
  </si>
  <si>
    <t xml:space="preserve">Submit </t>
  </si>
  <si>
    <t>Scrambled Data</t>
  </si>
  <si>
    <t>Scrambled data means the data values are adjusted up or down by about 20% from their actual value. Certain types of data are scrambled in our Free Trial and Developer Subscription, such as team &amp; player stats and fantasy stats. All other data, such as teams, players, schedules, etc, including their unique IDs, are not scrambled and the same as you would see in our Post-Game, Live and Real-Time Subscriptions.</t>
  </si>
  <si>
    <t>This is done so that you can use the Free Trial (1,000 API calls/mo) or Developer Subscription (unlimited API calls, $29/mo) to complete the majority of your integration before having to upgrade to one of our premium API subscriptions.</t>
  </si>
  <si>
    <t>RESTful Web Service Model</t>
  </si>
  <si>
    <t>Representational State Transfer (REST) is a style of web service architecture for developing scalable, distributed systems. REST has emerged as the preferred web service design model of technology organizations.</t>
  </si>
  <si>
    <t>Read more</t>
  </si>
  <si>
    <t>Crush your fantasy leagues for $15Fantasy StatsProjectionsSnap CountsSalariesADPPoints Allowed</t>
  </si>
  <si>
    <t>PHI</t>
  </si>
  <si>
    <t>Comp</t>
  </si>
  <si>
    <t>Att</t>
  </si>
  <si>
    <t>Yds</t>
  </si>
  <si>
    <t>Yds/Att</t>
  </si>
  <si>
    <t>TD</t>
  </si>
  <si>
    <t>Int</t>
  </si>
  <si>
    <t>QB Rating</t>
  </si>
  <si>
    <t>Sam Bradford</t>
  </si>
  <si>
    <t>QB</t>
  </si>
  <si>
    <t>Carson Wentz</t>
  </si>
  <si>
    <t>Chase Daniel</t>
  </si>
  <si>
    <t>Targets</t>
  </si>
  <si>
    <t>Rec</t>
  </si>
  <si>
    <t>Fum</t>
  </si>
  <si>
    <t>Lost</t>
  </si>
  <si>
    <t>Yds/Target</t>
  </si>
  <si>
    <t>Yds/Rec</t>
  </si>
  <si>
    <t>Rush</t>
  </si>
  <si>
    <t>TFL</t>
  </si>
  <si>
    <t>Sacks</t>
  </si>
  <si>
    <t>QB Hits</t>
  </si>
  <si>
    <t>Fum Rec</t>
  </si>
  <si>
    <t>Safeties</t>
  </si>
  <si>
    <t>Def TD</t>
  </si>
  <si>
    <t>Return TD</t>
  </si>
  <si>
    <t>Pts Allowed</t>
  </si>
  <si>
    <t>Carson Palmer</t>
  </si>
  <si>
    <t>ARI</t>
  </si>
  <si>
    <t>Drew Stanton</t>
  </si>
  <si>
    <t>Matt Barkley</t>
  </si>
  <si>
    <t>David Johnson</t>
  </si>
  <si>
    <t>RB</t>
  </si>
  <si>
    <t>Chris Johnson</t>
  </si>
  <si>
    <t>Andre Ellington</t>
  </si>
  <si>
    <t>Stepfan Taylor</t>
  </si>
  <si>
    <t>Kerwynn Williams</t>
  </si>
  <si>
    <t>Michael Floyd</t>
  </si>
  <si>
    <t>WR</t>
  </si>
  <si>
    <t>Larry Fitzgerald</t>
  </si>
  <si>
    <t>John Brown</t>
  </si>
  <si>
    <t>JJ Nelson</t>
  </si>
  <si>
    <t>Jaron Brown</t>
  </si>
  <si>
    <t>Ifeanyi Momah</t>
  </si>
  <si>
    <t>Brittan Golden</t>
  </si>
  <si>
    <t>Darren Fells</t>
  </si>
  <si>
    <t>TE</t>
  </si>
  <si>
    <t>Jermaine Gresham</t>
  </si>
  <si>
    <t>Gerald Christian</t>
  </si>
  <si>
    <t>Troy Niklas</t>
  </si>
  <si>
    <t>Chandler Catanzaro</t>
  </si>
  <si>
    <t>K</t>
  </si>
  <si>
    <t>Arizona Cardinals</t>
  </si>
  <si>
    <t>DST</t>
  </si>
  <si>
    <t>Matt Ryan</t>
  </si>
  <si>
    <t>ATL</t>
  </si>
  <si>
    <t>Matt Schaub</t>
  </si>
  <si>
    <t>Sean Renfree</t>
  </si>
  <si>
    <t>Matt Simms</t>
  </si>
  <si>
    <t>Joe Flacco</t>
  </si>
  <si>
    <t>BAL</t>
  </si>
  <si>
    <t>Ryan Mallett</t>
  </si>
  <si>
    <t>Josh Johnson</t>
  </si>
  <si>
    <t>Jerrod Johnson</t>
  </si>
  <si>
    <t>Tyrod Taylor</t>
  </si>
  <si>
    <t>BUF</t>
  </si>
  <si>
    <t>EJ Manuel</t>
  </si>
  <si>
    <t>Cardale Jones</t>
  </si>
  <si>
    <t>Cam Newton</t>
  </si>
  <si>
    <t>CAR</t>
  </si>
  <si>
    <t>Derek Anderson</t>
  </si>
  <si>
    <t>Joe Webb</t>
  </si>
  <si>
    <t>Devonta Freeman</t>
  </si>
  <si>
    <t>Tevin Coleman</t>
  </si>
  <si>
    <t>Patrick DiMarco</t>
  </si>
  <si>
    <t>FB</t>
  </si>
  <si>
    <t>Terron Ward</t>
  </si>
  <si>
    <t>Gus Johnson</t>
  </si>
  <si>
    <t>Cyrus Gray</t>
  </si>
  <si>
    <t>Justin Forsett</t>
  </si>
  <si>
    <t>Javorius Allen</t>
  </si>
  <si>
    <t>Kenneth Dixon</t>
  </si>
  <si>
    <t>Terrance West</t>
  </si>
  <si>
    <t>Lorenzo Taliaferro</t>
  </si>
  <si>
    <t>Kyle Juszczyk</t>
  </si>
  <si>
    <t>Trent Richardson</t>
  </si>
  <si>
    <t>LeSean McCoy</t>
  </si>
  <si>
    <t>Karlos Williams</t>
  </si>
  <si>
    <t>Mike Gillislee</t>
  </si>
  <si>
    <t>Reggie Bush</t>
  </si>
  <si>
    <t>Jonathan Williams</t>
  </si>
  <si>
    <t>Jerome Felton</t>
  </si>
  <si>
    <t>Dri Archer</t>
  </si>
  <si>
    <t>Dan Herron</t>
  </si>
  <si>
    <t>James Wilder</t>
  </si>
  <si>
    <t>Jonathan Stewart</t>
  </si>
  <si>
    <t>Cameron Artis-Payne</t>
  </si>
  <si>
    <t>Mike Tolbert</t>
  </si>
  <si>
    <t>Fozzy Whittaker</t>
  </si>
  <si>
    <t>Brandon Wegher</t>
  </si>
  <si>
    <t>Julio Jones</t>
  </si>
  <si>
    <t>Mohamed Sanu</t>
  </si>
  <si>
    <t>Justin Hardy</t>
  </si>
  <si>
    <t>Devin Fuller</t>
  </si>
  <si>
    <t>Nick Williams</t>
  </si>
  <si>
    <t>Devin Hester</t>
  </si>
  <si>
    <t>Aldrick Robinson</t>
  </si>
  <si>
    <t>Eric Weems</t>
  </si>
  <si>
    <t>Lance Moore</t>
  </si>
  <si>
    <t>Kamar Aiken</t>
  </si>
  <si>
    <t>Steve Smith</t>
  </si>
  <si>
    <t>Mike Wallace</t>
  </si>
  <si>
    <t>Breshad Perriman</t>
  </si>
  <si>
    <t>Chris Matthews</t>
  </si>
  <si>
    <t>Jeremy Butler</t>
  </si>
  <si>
    <t>Michael Campanaro</t>
  </si>
  <si>
    <t>Chris Moore</t>
  </si>
  <si>
    <t>Keenan Reynolds</t>
  </si>
  <si>
    <t>Kaelin Clay</t>
  </si>
  <si>
    <t>Darren Waller</t>
  </si>
  <si>
    <t>Sammy Watkins</t>
  </si>
  <si>
    <t>Robert Woods</t>
  </si>
  <si>
    <t>Leonard Hankerson</t>
  </si>
  <si>
    <t>Dezmin Lewis</t>
  </si>
  <si>
    <t>Greg Salas</t>
  </si>
  <si>
    <t>Kolby Listenbee</t>
  </si>
  <si>
    <t>Marquise Goodwin</t>
  </si>
  <si>
    <t>Marcus Easley</t>
  </si>
  <si>
    <t>Walter Powell</t>
  </si>
  <si>
    <t>Jarrett Boykin</t>
  </si>
  <si>
    <t>Greg Little</t>
  </si>
  <si>
    <t>Kelvin Benjamin</t>
  </si>
  <si>
    <t>Devin Funchess</t>
  </si>
  <si>
    <t>Ted Ginn</t>
  </si>
  <si>
    <t>Corey Brown</t>
  </si>
  <si>
    <t>Keyarris Garrett</t>
  </si>
  <si>
    <t>Brenton Bersin</t>
  </si>
  <si>
    <t>Stephen Hill</t>
  </si>
  <si>
    <t>Kevin Norwood</t>
  </si>
  <si>
    <t>LaRon Byrd</t>
  </si>
  <si>
    <t>Marcus Lucas</t>
  </si>
  <si>
    <t>Jacob Tamme</t>
  </si>
  <si>
    <t>Austin Hooper</t>
  </si>
  <si>
    <t>Levine Toilolo</t>
  </si>
  <si>
    <t>Benjamin Watson</t>
  </si>
  <si>
    <t>Crockett Gillmore</t>
  </si>
  <si>
    <t>Maxx Williams</t>
  </si>
  <si>
    <t>Nick Boyle</t>
  </si>
  <si>
    <t>Dennis Pitta</t>
  </si>
  <si>
    <t>Charles Clay</t>
  </si>
  <si>
    <t>Chris Gragg</t>
  </si>
  <si>
    <t>Jim Dray</t>
  </si>
  <si>
    <t>Nick O'Leary</t>
  </si>
  <si>
    <t>Greg Olsen</t>
  </si>
  <si>
    <t>Ed Dickson</t>
  </si>
  <si>
    <t>Beau Sandland</t>
  </si>
  <si>
    <t>Scott Simonson</t>
  </si>
  <si>
    <t>Matt Bryant</t>
  </si>
  <si>
    <t>Justin Tucker</t>
  </si>
  <si>
    <t>Dan Carpenter</t>
  </si>
  <si>
    <t>Graham Gano</t>
  </si>
  <si>
    <t>Atlanta Falcons</t>
  </si>
  <si>
    <t>Baltimore Ravens</t>
  </si>
  <si>
    <t>Buffalo Bills</t>
  </si>
  <si>
    <t>Carolina Panthers</t>
  </si>
  <si>
    <t>Jay Cutler</t>
  </si>
  <si>
    <t>CHI</t>
  </si>
  <si>
    <t>Brian Hoyer</t>
  </si>
  <si>
    <t>David Fales</t>
  </si>
  <si>
    <t>Matt Blanchard</t>
  </si>
  <si>
    <t>BJ Daniels</t>
  </si>
  <si>
    <t>Andy Dalton</t>
  </si>
  <si>
    <t>CIN</t>
  </si>
  <si>
    <t>AJ McCarron</t>
  </si>
  <si>
    <t>Keith Wenning</t>
  </si>
  <si>
    <t>Robert Griffin III</t>
  </si>
  <si>
    <t>CLE</t>
  </si>
  <si>
    <t>Josh McCown</t>
  </si>
  <si>
    <t>Cody Kessler</t>
  </si>
  <si>
    <t>Austin Davis</t>
  </si>
  <si>
    <t>Tony Romo</t>
  </si>
  <si>
    <t>DAL</t>
  </si>
  <si>
    <t>Kellen Moore</t>
  </si>
  <si>
    <t>Dak Prescott</t>
  </si>
  <si>
    <t>Mark Sanchez</t>
  </si>
  <si>
    <t>DEN</t>
  </si>
  <si>
    <t>Paxton Lynch</t>
  </si>
  <si>
    <t>Trevor Siemian</t>
  </si>
  <si>
    <t>Jeremy Langford</t>
  </si>
  <si>
    <t>Jordan Howard</t>
  </si>
  <si>
    <t>Ka'Deem Carey</t>
  </si>
  <si>
    <t>Jacquizz Rodgers</t>
  </si>
  <si>
    <t>Senorise Perry</t>
  </si>
  <si>
    <t>Darrel Young</t>
  </si>
  <si>
    <t>Giovani Bernard</t>
  </si>
  <si>
    <t>Jeremy Hill</t>
  </si>
  <si>
    <t>Rex Burkhead</t>
  </si>
  <si>
    <t>Cedric Peerman</t>
  </si>
  <si>
    <t>Duke Johnson</t>
  </si>
  <si>
    <t>Isaiah Crowell</t>
  </si>
  <si>
    <t>Raheem Mostert</t>
  </si>
  <si>
    <t>Glenn Winston</t>
  </si>
  <si>
    <t>Malcolm Johnson</t>
  </si>
  <si>
    <t>Rajion Neal</t>
  </si>
  <si>
    <t>Terrell Watson</t>
  </si>
  <si>
    <t>Ezekiel Elliott</t>
  </si>
  <si>
    <t>Darren McFadden</t>
  </si>
  <si>
    <t>Alfred Morris</t>
  </si>
  <si>
    <t>Lance Dunbar</t>
  </si>
  <si>
    <t>Rod Smith</t>
  </si>
  <si>
    <t>Darius Jackson</t>
  </si>
  <si>
    <t>CJ Anderson</t>
  </si>
  <si>
    <t>Ronnie Hillman</t>
  </si>
  <si>
    <t>Devontae Booker</t>
  </si>
  <si>
    <t>Juwan Thompson</t>
  </si>
  <si>
    <t>Kapri Bibbs</t>
  </si>
  <si>
    <t>Alshon Jeffery</t>
  </si>
  <si>
    <t>Kevin White</t>
  </si>
  <si>
    <t>Eddie Royal</t>
  </si>
  <si>
    <t>Marquess Wilson</t>
  </si>
  <si>
    <t>Josh Bellamy</t>
  </si>
  <si>
    <t>Daniel Braverman</t>
  </si>
  <si>
    <t>Deonte Thompson</t>
  </si>
  <si>
    <t>Cameron Meredith</t>
  </si>
  <si>
    <t>Marc Mariani</t>
  </si>
  <si>
    <t>AJ Green</t>
  </si>
  <si>
    <t>Tyler Boyd</t>
  </si>
  <si>
    <t>Brandon LaFell</t>
  </si>
  <si>
    <t>Mario Alford</t>
  </si>
  <si>
    <t>Brandon Tate</t>
  </si>
  <si>
    <t>James Wright</t>
  </si>
  <si>
    <t>Corey Coleman</t>
  </si>
  <si>
    <t>Josh Gordon</t>
  </si>
  <si>
    <t>Andrew Hawkins</t>
  </si>
  <si>
    <t>Terrelle Pryor</t>
  </si>
  <si>
    <t>Rashard Higgins</t>
  </si>
  <si>
    <t>Taylor Gabriel</t>
  </si>
  <si>
    <t>Ricardo Louis</t>
  </si>
  <si>
    <t>Jordan Payton</t>
  </si>
  <si>
    <t>Marlon Moore</t>
  </si>
  <si>
    <t>Seth Devalve</t>
  </si>
  <si>
    <t>Dez Bryant</t>
  </si>
  <si>
    <t>Terrance Williams</t>
  </si>
  <si>
    <t>Cole Beasley</t>
  </si>
  <si>
    <t>Brice Butler</t>
  </si>
  <si>
    <t>Devin Street</t>
  </si>
  <si>
    <t>Vince Mayle</t>
  </si>
  <si>
    <t>Rodney Smith</t>
  </si>
  <si>
    <t>Demaryius Thomas</t>
  </si>
  <si>
    <t>Emmanuel Sanders</t>
  </si>
  <si>
    <t>Bennie Fowler</t>
  </si>
  <si>
    <t>Cody Latimer</t>
  </si>
  <si>
    <t>Jordan Norwood</t>
  </si>
  <si>
    <t>DeVier Posey</t>
  </si>
  <si>
    <t>Marlon Brown</t>
  </si>
  <si>
    <t>Zach Miller</t>
  </si>
  <si>
    <t>Rob Housler</t>
  </si>
  <si>
    <t>Khari Lee</t>
  </si>
  <si>
    <t>Tony Moeaki</t>
  </si>
  <si>
    <t>Tyler Eifert</t>
  </si>
  <si>
    <t>Ryan Hewitt</t>
  </si>
  <si>
    <t>Tyler Kroft</t>
  </si>
  <si>
    <t>CJ Uzomah</t>
  </si>
  <si>
    <t>Gary Barnidge</t>
  </si>
  <si>
    <t>EJ Bibbs</t>
  </si>
  <si>
    <t>Randall Telfer</t>
  </si>
  <si>
    <t>Jason Witten</t>
  </si>
  <si>
    <t>Gavin Escobar</t>
  </si>
  <si>
    <t>James Hanna</t>
  </si>
  <si>
    <t>Jeff Heuerman</t>
  </si>
  <si>
    <t>Virgil Green</t>
  </si>
  <si>
    <t>John Phillips</t>
  </si>
  <si>
    <t>Garrett Graham</t>
  </si>
  <si>
    <t>Robbie Gould</t>
  </si>
  <si>
    <t>Mike Nugent</t>
  </si>
  <si>
    <t>Zach Hocker</t>
  </si>
  <si>
    <t>Travis Coons</t>
  </si>
  <si>
    <t>Patrick Murray</t>
  </si>
  <si>
    <t>Dan Bailey</t>
  </si>
  <si>
    <t>Brandon McManus</t>
  </si>
  <si>
    <t>Chicago Bears</t>
  </si>
  <si>
    <t>Cincinnati Bengals</t>
  </si>
  <si>
    <t>Cleveland Browns</t>
  </si>
  <si>
    <t>Dallas Cowboys</t>
  </si>
  <si>
    <t>Denver Broncos</t>
  </si>
  <si>
    <t>Matthew Stafford</t>
  </si>
  <si>
    <t>DET</t>
  </si>
  <si>
    <t>Dan Orlovsky</t>
  </si>
  <si>
    <t>Jake Rudock</t>
  </si>
  <si>
    <t>Aaron Rodgers</t>
  </si>
  <si>
    <t>GB</t>
  </si>
  <si>
    <t>Brett Hundley</t>
  </si>
  <si>
    <t>Brock Osweiler</t>
  </si>
  <si>
    <t>HOU</t>
  </si>
  <si>
    <t>Brandon Weeden</t>
  </si>
  <si>
    <t>Tom Savage</t>
  </si>
  <si>
    <t>Andrew Luck</t>
  </si>
  <si>
    <t>IND</t>
  </si>
  <si>
    <t>Scott Tolzien</t>
  </si>
  <si>
    <t>Stephen Morris</t>
  </si>
  <si>
    <t>Blake Bortles</t>
  </si>
  <si>
    <t>JAX</t>
  </si>
  <si>
    <t>Chad Henne</t>
  </si>
  <si>
    <t>Alex Smith</t>
  </si>
  <si>
    <t>KC</t>
  </si>
  <si>
    <t>Aaron Murray</t>
  </si>
  <si>
    <t>Nick Foles</t>
  </si>
  <si>
    <t>Tyler Bray</t>
  </si>
  <si>
    <t>Kevin Hogan</t>
  </si>
  <si>
    <t>Jared Goff</t>
  </si>
  <si>
    <t>LA</t>
  </si>
  <si>
    <t>Case Keenum</t>
  </si>
  <si>
    <t>Sean Mannion</t>
  </si>
  <si>
    <t>Ryan Tannehill</t>
  </si>
  <si>
    <t>MIA</t>
  </si>
  <si>
    <t>Matt Moore</t>
  </si>
  <si>
    <t>Brandon Doughty</t>
  </si>
  <si>
    <t>Zac Dysert</t>
  </si>
  <si>
    <t>Teddy Bridgewater</t>
  </si>
  <si>
    <t>MIN</t>
  </si>
  <si>
    <t>Shaun Hill</t>
  </si>
  <si>
    <t>Taylor Heinicke</t>
  </si>
  <si>
    <t>Tom Brady</t>
  </si>
  <si>
    <t>NE</t>
  </si>
  <si>
    <t>Jimmy Garoppolo</t>
  </si>
  <si>
    <t>Jacoby Brissett</t>
  </si>
  <si>
    <t>Ameer Abdullah</t>
  </si>
  <si>
    <t>Theo Riddick</t>
  </si>
  <si>
    <t>Zach Zenner</t>
  </si>
  <si>
    <t>Stevan Ridley</t>
  </si>
  <si>
    <t>Michael Burton</t>
  </si>
  <si>
    <t>Dwayne Washington</t>
  </si>
  <si>
    <t>George Winn</t>
  </si>
  <si>
    <t>Eddie Lacy</t>
  </si>
  <si>
    <t>James Starks</t>
  </si>
  <si>
    <t>Aaron Ripkowski</t>
  </si>
  <si>
    <t>John Crockett</t>
  </si>
  <si>
    <t>Lamar Miller</t>
  </si>
  <si>
    <t>Tyler Ervin</t>
  </si>
  <si>
    <t>Alfred Blue</t>
  </si>
  <si>
    <t>Jonathan Grimes</t>
  </si>
  <si>
    <t>Akeem Hunt</t>
  </si>
  <si>
    <t>Jay Prosch</t>
  </si>
  <si>
    <t>Kenny Hilliard</t>
  </si>
  <si>
    <t>Frank Gore</t>
  </si>
  <si>
    <t>Josh Ferguson</t>
  </si>
  <si>
    <t>Robert Turbin</t>
  </si>
  <si>
    <t>Jordan Todman</t>
  </si>
  <si>
    <t>Tyler Varga</t>
  </si>
  <si>
    <t>Trey Williams</t>
  </si>
  <si>
    <t>TJ Yeldon</t>
  </si>
  <si>
    <t>Chris Ivory</t>
  </si>
  <si>
    <t>Jonas Gray</t>
  </si>
  <si>
    <t>Denard Robinson</t>
  </si>
  <si>
    <t>Joe Banyard</t>
  </si>
  <si>
    <t>Jamaal Charles</t>
  </si>
  <si>
    <t>Spencer Ware</t>
  </si>
  <si>
    <t>Charcandrick West</t>
  </si>
  <si>
    <t>De'Anthony Thomas</t>
  </si>
  <si>
    <t>Knile Davis</t>
  </si>
  <si>
    <t>Anthony Sherman</t>
  </si>
  <si>
    <t>Darrin Reaves</t>
  </si>
  <si>
    <t>Todd Gurley</t>
  </si>
  <si>
    <t>Benjamin Cunningham</t>
  </si>
  <si>
    <t>Tre Mason</t>
  </si>
  <si>
    <t>Malcolm Brown</t>
  </si>
  <si>
    <t>Chase Reynolds</t>
  </si>
  <si>
    <t>Arian Foster</t>
  </si>
  <si>
    <t>Jay Ajayi</t>
  </si>
  <si>
    <t>Kenyan Drake</t>
  </si>
  <si>
    <t>Damien Williams</t>
  </si>
  <si>
    <t>Isaiah Pead</t>
  </si>
  <si>
    <t>Daniel Thomas</t>
  </si>
  <si>
    <t>Adrian Peterson</t>
  </si>
  <si>
    <t>Jerick McKinnon</t>
  </si>
  <si>
    <t>Zach Line</t>
  </si>
  <si>
    <t>Matt Asiata</t>
  </si>
  <si>
    <t>Jhurell Pressley</t>
  </si>
  <si>
    <t>Dion Lewis</t>
  </si>
  <si>
    <t>LeGarrette Blount</t>
  </si>
  <si>
    <t>James White</t>
  </si>
  <si>
    <t>Brandon Bolden</t>
  </si>
  <si>
    <t>Donald Brown</t>
  </si>
  <si>
    <t>James Develin</t>
  </si>
  <si>
    <t>Tyler Gaffney</t>
  </si>
  <si>
    <t>Golden Tate</t>
  </si>
  <si>
    <t>Marvin Jones</t>
  </si>
  <si>
    <t>Anquan Boldin</t>
  </si>
  <si>
    <t>Jeremy Kerley</t>
  </si>
  <si>
    <t>TJ Jones</t>
  </si>
  <si>
    <t>Corey Fuller</t>
  </si>
  <si>
    <t>Andre Roberts</t>
  </si>
  <si>
    <t>Andre Caldwell</t>
  </si>
  <si>
    <t>Ryan Spadola</t>
  </si>
  <si>
    <t>Jordy Nelson</t>
  </si>
  <si>
    <t>Randall Cobb</t>
  </si>
  <si>
    <t>Davante Adams</t>
  </si>
  <si>
    <t>Jeff Janis</t>
  </si>
  <si>
    <t>Ty Montgomery</t>
  </si>
  <si>
    <t>Jared Abbrederis</t>
  </si>
  <si>
    <t>Trevor Davis</t>
  </si>
  <si>
    <t>DeAndre Hopkins</t>
  </si>
  <si>
    <t>Will Fuller</t>
  </si>
  <si>
    <t>Jaelen Strong</t>
  </si>
  <si>
    <t>Cecil Shorts</t>
  </si>
  <si>
    <t>Braxton Miller</t>
  </si>
  <si>
    <t>Keith Mumphery</t>
  </si>
  <si>
    <t>TY Hilton</t>
  </si>
  <si>
    <t>Donte Moncrief</t>
  </si>
  <si>
    <t>Phillip Dorsett</t>
  </si>
  <si>
    <t>Josh Boyce</t>
  </si>
  <si>
    <t>Quan Bray</t>
  </si>
  <si>
    <t>Brian Tyms</t>
  </si>
  <si>
    <t>Allen Robinson</t>
  </si>
  <si>
    <t>Allen Hurns</t>
  </si>
  <si>
    <t>Marqise Lee</t>
  </si>
  <si>
    <t>Rashad Greene</t>
  </si>
  <si>
    <t>Bryan Walters</t>
  </si>
  <si>
    <t>Justin Blackmon</t>
  </si>
  <si>
    <t>Arrelious Benn</t>
  </si>
  <si>
    <t>Shaquelle Evans</t>
  </si>
  <si>
    <t>Jeremy Maclin</t>
  </si>
  <si>
    <t>Chris Conley</t>
  </si>
  <si>
    <t>Albert Wilson</t>
  </si>
  <si>
    <t>Tyreek Hill</t>
  </si>
  <si>
    <t>Rod Streater</t>
  </si>
  <si>
    <t>Demarcus Robinson</t>
  </si>
  <si>
    <t>Frankie Hammond</t>
  </si>
  <si>
    <t>Seantavious Jones</t>
  </si>
  <si>
    <t>Kashif Moore</t>
  </si>
  <si>
    <t>Mike Williams</t>
  </si>
  <si>
    <t>Tavon Austin</t>
  </si>
  <si>
    <t>Kenny Britt</t>
  </si>
  <si>
    <t>Brian Quick</t>
  </si>
  <si>
    <t>Pharoh Cooper</t>
  </si>
  <si>
    <t>Stedman Bailey</t>
  </si>
  <si>
    <t>Mike Thomas</t>
  </si>
  <si>
    <t>Bradley Marquez</t>
  </si>
  <si>
    <t>Jarvis Landry</t>
  </si>
  <si>
    <t>Devante Parker</t>
  </si>
  <si>
    <t>Kenny Stills</t>
  </si>
  <si>
    <t>Leonte Carroo</t>
  </si>
  <si>
    <t>Jakeem Grant</t>
  </si>
  <si>
    <t>Griff Whalen</t>
  </si>
  <si>
    <t>Matt Hazel</t>
  </si>
  <si>
    <t>Stefon Diggs</t>
  </si>
  <si>
    <t>Laquon Treadwell</t>
  </si>
  <si>
    <t>Jarius Wright</t>
  </si>
  <si>
    <t>Charles Johnson</t>
  </si>
  <si>
    <t>Cordarrelle Patterson</t>
  </si>
  <si>
    <t>Adam Thielen</t>
  </si>
  <si>
    <t>Moritz Boehringer</t>
  </si>
  <si>
    <t>Julian Edelman</t>
  </si>
  <si>
    <t>Chris Hogan</t>
  </si>
  <si>
    <t>Danny Amendola</t>
  </si>
  <si>
    <t>Malcolm Mitchell</t>
  </si>
  <si>
    <t>Nate Washington</t>
  </si>
  <si>
    <t>Keshawn Martin</t>
  </si>
  <si>
    <t>Aaron Dobson</t>
  </si>
  <si>
    <t>Matthew Slater</t>
  </si>
  <si>
    <t>Eric Ebron</t>
  </si>
  <si>
    <t>Brandon Pettigrew</t>
  </si>
  <si>
    <t>Matthew Mulligan</t>
  </si>
  <si>
    <t>Orson Charles</t>
  </si>
  <si>
    <t>Tim Wright</t>
  </si>
  <si>
    <t>Andrew Quarless</t>
  </si>
  <si>
    <t>Jared Cook</t>
  </si>
  <si>
    <t>Richard Rodgers</t>
  </si>
  <si>
    <t>Justin Perillo</t>
  </si>
  <si>
    <t>Kennard Backman</t>
  </si>
  <si>
    <t>Ryan Griffin</t>
  </si>
  <si>
    <t>CJ Fiedorowicz</t>
  </si>
  <si>
    <t>AD Denham</t>
  </si>
  <si>
    <t>Dwayne Allen</t>
  </si>
  <si>
    <t>Jack Doyle</t>
  </si>
  <si>
    <t>Erik Swoope</t>
  </si>
  <si>
    <t>Chase Coffman</t>
  </si>
  <si>
    <t>Julius Thomas</t>
  </si>
  <si>
    <t>Marcedes Lewis</t>
  </si>
  <si>
    <t>Nic Jacobs</t>
  </si>
  <si>
    <t>Travis Kelce</t>
  </si>
  <si>
    <t>James O'Shaughnessy</t>
  </si>
  <si>
    <t>Demetrius Harris</t>
  </si>
  <si>
    <t>Brian Parker</t>
  </si>
  <si>
    <t>Lance Kendricks</t>
  </si>
  <si>
    <t>Tyler Higbee</t>
  </si>
  <si>
    <t>Cory Harkey</t>
  </si>
  <si>
    <t>Temarrick Hemingway</t>
  </si>
  <si>
    <t>Jake Stoneburner</t>
  </si>
  <si>
    <t>Justice Cunningham</t>
  </si>
  <si>
    <t>Jordan Cameron</t>
  </si>
  <si>
    <t>Dion Sims</t>
  </si>
  <si>
    <t>MarQueis Gray</t>
  </si>
  <si>
    <t>Thomas Duarte</t>
  </si>
  <si>
    <t>Dominique Jones</t>
  </si>
  <si>
    <t>Kyle Rudolph</t>
  </si>
  <si>
    <t>MyCole Pruitt</t>
  </si>
  <si>
    <t>Rhett Ellison</t>
  </si>
  <si>
    <t>Rob Gronkowski</t>
  </si>
  <si>
    <t>Martellus Bennett</t>
  </si>
  <si>
    <t>Clay Harbor</t>
  </si>
  <si>
    <t>Michael Williams</t>
  </si>
  <si>
    <t>Bear Pascoe</t>
  </si>
  <si>
    <t>Matt Prater</t>
  </si>
  <si>
    <t>Mason Crosby</t>
  </si>
  <si>
    <t>Nick Novak</t>
  </si>
  <si>
    <t>Adam Vinatieri</t>
  </si>
  <si>
    <t>Jason Myers</t>
  </si>
  <si>
    <t>Cairo Santos</t>
  </si>
  <si>
    <t>Greg Zuerlein</t>
  </si>
  <si>
    <t>Andrew Franks</t>
  </si>
  <si>
    <t>Blair Walsh</t>
  </si>
  <si>
    <t>Stephen Gostkowski</t>
  </si>
  <si>
    <t>Detroit Lions</t>
  </si>
  <si>
    <t>Green Bay Packers</t>
  </si>
  <si>
    <t>Houston Texans</t>
  </si>
  <si>
    <t>Indianapolis Colts</t>
  </si>
  <si>
    <t>Jacksonville Jaguars</t>
  </si>
  <si>
    <t>Kansas City Chiefs</t>
  </si>
  <si>
    <t>Los Angeles Rams</t>
  </si>
  <si>
    <t>Miami Dolphins</t>
  </si>
  <si>
    <t>Minnesota Vikings</t>
  </si>
  <si>
    <t>New England Patriots</t>
  </si>
  <si>
    <t>Drew Brees</t>
  </si>
  <si>
    <t>NO</t>
  </si>
  <si>
    <t>Luke McCown</t>
  </si>
  <si>
    <t>Garrett Grayson</t>
  </si>
  <si>
    <t>Eli Manning</t>
  </si>
  <si>
    <t>NYG</t>
  </si>
  <si>
    <t>Ryan Nassib</t>
  </si>
  <si>
    <t>Logan Thomas</t>
  </si>
  <si>
    <t>Ryan Fitzpatrick</t>
  </si>
  <si>
    <t>NYJ</t>
  </si>
  <si>
    <t>Geno Smith</t>
  </si>
  <si>
    <t>Christian Hackenberg</t>
  </si>
  <si>
    <t>Bryce Petty</t>
  </si>
  <si>
    <t>Derek Carr</t>
  </si>
  <si>
    <t>OAK</t>
  </si>
  <si>
    <t>Matt McGloin</t>
  </si>
  <si>
    <t>Connor Cook</t>
  </si>
  <si>
    <t>Ben Roethlisberger</t>
  </si>
  <si>
    <t>PIT</t>
  </si>
  <si>
    <t>Bruce Gradkowski</t>
  </si>
  <si>
    <t>Landry Jones</t>
  </si>
  <si>
    <t>Mark Ingram</t>
  </si>
  <si>
    <t>Tim Hightower</t>
  </si>
  <si>
    <t>CJ Spiller</t>
  </si>
  <si>
    <t>Travaris Cadet</t>
  </si>
  <si>
    <t>Daniel Lasco</t>
  </si>
  <si>
    <t>John Kuhn</t>
  </si>
  <si>
    <t>Austin Johnson</t>
  </si>
  <si>
    <t>Marcus Murphy</t>
  </si>
  <si>
    <t>Rashad Jennings</t>
  </si>
  <si>
    <t>Shane Vereen</t>
  </si>
  <si>
    <t>Paul Perkins</t>
  </si>
  <si>
    <t>Orleans Darkwa</t>
  </si>
  <si>
    <t>Bobby Rainey</t>
  </si>
  <si>
    <t>Andre Williams</t>
  </si>
  <si>
    <t>Will Johnson</t>
  </si>
  <si>
    <t>Nikita Whitlock</t>
  </si>
  <si>
    <t>Matt Forte</t>
  </si>
  <si>
    <t>Bilal Powell</t>
  </si>
  <si>
    <t>Khiry Robinson</t>
  </si>
  <si>
    <t>Tommy Bohanon</t>
  </si>
  <si>
    <t>Zac Stacy</t>
  </si>
  <si>
    <t>Bernard Pierce</t>
  </si>
  <si>
    <t>Lache Seastrunk</t>
  </si>
  <si>
    <t>Latavius Murray</t>
  </si>
  <si>
    <t>Deandre Washington</t>
  </si>
  <si>
    <t>Roy Helu</t>
  </si>
  <si>
    <t>Marcel Reece</t>
  </si>
  <si>
    <t>Taiwan Jones</t>
  </si>
  <si>
    <t>Jamize Olawale</t>
  </si>
  <si>
    <t>George Atkinson</t>
  </si>
  <si>
    <t>Ryan Mathews</t>
  </si>
  <si>
    <t>Darren Sproles</t>
  </si>
  <si>
    <t>Wendell Smallwood</t>
  </si>
  <si>
    <t>Kenjon Barner</t>
  </si>
  <si>
    <t>Le'Veon Bell</t>
  </si>
  <si>
    <t>DeAngelo Williams</t>
  </si>
  <si>
    <t>Fitzgerald Toussaint</t>
  </si>
  <si>
    <t>Daryl Richardson</t>
  </si>
  <si>
    <t>Brandin Cooks</t>
  </si>
  <si>
    <t>Willie Snead</t>
  </si>
  <si>
    <t>Michael Thomas</t>
  </si>
  <si>
    <t>Brandon Coleman</t>
  </si>
  <si>
    <t>Hakeem Nicks</t>
  </si>
  <si>
    <t>RJ Harris</t>
  </si>
  <si>
    <t>Vincent Brown</t>
  </si>
  <si>
    <t>Odell Beckham Jr</t>
  </si>
  <si>
    <t>Sterling Shepard</t>
  </si>
  <si>
    <t>Victor Cruz</t>
  </si>
  <si>
    <t>Dwayne Harris</t>
  </si>
  <si>
    <t>Geremy Davis</t>
  </si>
  <si>
    <t>Tavarres King</t>
  </si>
  <si>
    <t>Brandon Marshall</t>
  </si>
  <si>
    <t>Eric Decker</t>
  </si>
  <si>
    <t>Quincy Enunwa</t>
  </si>
  <si>
    <t>Devin Smith</t>
  </si>
  <si>
    <t>Kenbrell Thompkins</t>
  </si>
  <si>
    <t>Jeremy Ross</t>
  </si>
  <si>
    <t>Charone Peake</t>
  </si>
  <si>
    <t>Kyle Williams</t>
  </si>
  <si>
    <t>Amari Cooper</t>
  </si>
  <si>
    <t>Michael Crabtree</t>
  </si>
  <si>
    <t>Seth Roberts</t>
  </si>
  <si>
    <t>Andre Holmes</t>
  </si>
  <si>
    <t>Nathan Palmer</t>
  </si>
  <si>
    <t>Jordan Matthews</t>
  </si>
  <si>
    <t>Nelson Agholor</t>
  </si>
  <si>
    <t>Rueben Randle</t>
  </si>
  <si>
    <t>Josh Huff</t>
  </si>
  <si>
    <t>Chris Givens</t>
  </si>
  <si>
    <t>TJ Graham</t>
  </si>
  <si>
    <t>Trey Burton</t>
  </si>
  <si>
    <t>Antonio Brown</t>
  </si>
  <si>
    <t>Markus Wheaton</t>
  </si>
  <si>
    <t>Sammie Coates</t>
  </si>
  <si>
    <t>Darrius Heyward-Bey</t>
  </si>
  <si>
    <t>Martavis Bryant</t>
  </si>
  <si>
    <t>Demarcus Ayers</t>
  </si>
  <si>
    <t>Cobi Hamilton</t>
  </si>
  <si>
    <t>Coby Fleener</t>
  </si>
  <si>
    <t>Josh Hill</t>
  </si>
  <si>
    <t>Michael Hoomanawanui</t>
  </si>
  <si>
    <t>Will Tye</t>
  </si>
  <si>
    <t>Larry Donnell</t>
  </si>
  <si>
    <t>Matt Lacosse</t>
  </si>
  <si>
    <t>Jerell Adams</t>
  </si>
  <si>
    <t>Jace Amaro</t>
  </si>
  <si>
    <t>Kellen Davis</t>
  </si>
  <si>
    <t>Zach Sudfeld</t>
  </si>
  <si>
    <t>Brandon Bostick</t>
  </si>
  <si>
    <t>Clive Walford</t>
  </si>
  <si>
    <t>Mychal Rivera</t>
  </si>
  <si>
    <t>Lee Smith</t>
  </si>
  <si>
    <t>Gabe Holmes</t>
  </si>
  <si>
    <t>Zach Ertz</t>
  </si>
  <si>
    <t>Brent Celek</t>
  </si>
  <si>
    <t>Chris Pantale</t>
  </si>
  <si>
    <t>Ladarius Green</t>
  </si>
  <si>
    <t>Jesse James</t>
  </si>
  <si>
    <t>Matt Spaeth</t>
  </si>
  <si>
    <t>Xavier Grimble</t>
  </si>
  <si>
    <t>Kai Forbath</t>
  </si>
  <si>
    <t>Connor Barth</t>
  </si>
  <si>
    <t>Josh Brown</t>
  </si>
  <si>
    <t>Tom Obarski</t>
  </si>
  <si>
    <t>Nick Folk</t>
  </si>
  <si>
    <t>Sebastian Janikowski</t>
  </si>
  <si>
    <t>Caleb Sturgis</t>
  </si>
  <si>
    <t>Cody Parkey</t>
  </si>
  <si>
    <t>Chris Boswell</t>
  </si>
  <si>
    <t>Shaun Suisham</t>
  </si>
  <si>
    <t>New Orleans Saints</t>
  </si>
  <si>
    <t>New York Giants</t>
  </si>
  <si>
    <t>New York Jets</t>
  </si>
  <si>
    <t>Oakland Raiders</t>
  </si>
  <si>
    <t>Philadelphia Eagles</t>
  </si>
  <si>
    <t>Pittsburgh Steelers</t>
  </si>
  <si>
    <t>Philip Rivers</t>
  </si>
  <si>
    <t>SD</t>
  </si>
  <si>
    <t>Zach Mettenberger</t>
  </si>
  <si>
    <t>Kellen Clemens</t>
  </si>
  <si>
    <t>Russell Wilson</t>
  </si>
  <si>
    <t>SEA</t>
  </si>
  <si>
    <t>Blaine Gabbert</t>
  </si>
  <si>
    <t>SF</t>
  </si>
  <si>
    <t>Colin Kaepernick</t>
  </si>
  <si>
    <t>Thaddeus Lewis</t>
  </si>
  <si>
    <t>Jeff Driskel</t>
  </si>
  <si>
    <t>Jameis Winston</t>
  </si>
  <si>
    <t>TB</t>
  </si>
  <si>
    <t>Mike Glennon</t>
  </si>
  <si>
    <t>Dan LeFevour</t>
  </si>
  <si>
    <t>Marcus Mariota</t>
  </si>
  <si>
    <t>TEN</t>
  </si>
  <si>
    <t>Matt Cassel</t>
  </si>
  <si>
    <t>Alex Tanney</t>
  </si>
  <si>
    <t>Kirk Cousins</t>
  </si>
  <si>
    <t>WAS</t>
  </si>
  <si>
    <t>Colt McCoy</t>
  </si>
  <si>
    <t>Nate Sudfeld</t>
  </si>
  <si>
    <t>Danny Woodhead</t>
  </si>
  <si>
    <t>Melvin Gordon</t>
  </si>
  <si>
    <t>Branden Oliver</t>
  </si>
  <si>
    <t>Dreamius Smith</t>
  </si>
  <si>
    <t>Thomas Rawls</t>
  </si>
  <si>
    <t>CJ Prosise</t>
  </si>
  <si>
    <t>Christine Michael</t>
  </si>
  <si>
    <t>Alex Collins</t>
  </si>
  <si>
    <t>Carlos Hyde</t>
  </si>
  <si>
    <t>Shaun Draughn</t>
  </si>
  <si>
    <t>Kelvin Taylor</t>
  </si>
  <si>
    <t>Bruce Miller</t>
  </si>
  <si>
    <t>DuJuan Harris</t>
  </si>
  <si>
    <t>Kendall Gaskins</t>
  </si>
  <si>
    <t>Mike Davis</t>
  </si>
  <si>
    <t>Doug Martin</t>
  </si>
  <si>
    <t>Charles Sims</t>
  </si>
  <si>
    <t>Dan Vitale</t>
  </si>
  <si>
    <t>Mike James</t>
  </si>
  <si>
    <t>Storm Johnson</t>
  </si>
  <si>
    <t>DeMarco Murray</t>
  </si>
  <si>
    <t>Derrick Henry</t>
  </si>
  <si>
    <t>Dexter McCluster</t>
  </si>
  <si>
    <t>Antonio Andrews</t>
  </si>
  <si>
    <t>David Cobb</t>
  </si>
  <si>
    <t>Jalston Fowler</t>
  </si>
  <si>
    <t>Bishop Sankey</t>
  </si>
  <si>
    <t>Matt Jones</t>
  </si>
  <si>
    <t>Chris Thompson</t>
  </si>
  <si>
    <t>Keith Marshall</t>
  </si>
  <si>
    <t>Mack Brown</t>
  </si>
  <si>
    <t>Silas Redd</t>
  </si>
  <si>
    <t>Keenan Allen</t>
  </si>
  <si>
    <t>Travis Benjamin</t>
  </si>
  <si>
    <t>Steve Johnson</t>
  </si>
  <si>
    <t>James Jones</t>
  </si>
  <si>
    <t>Dontrelle Inman</t>
  </si>
  <si>
    <t>Tyrell Williams</t>
  </si>
  <si>
    <t>Javontee Herndon</t>
  </si>
  <si>
    <t>Doug Baldwin</t>
  </si>
  <si>
    <t>Tyler Lockett</t>
  </si>
  <si>
    <t>Jermaine Kearse</t>
  </si>
  <si>
    <t>Paul Richardson</t>
  </si>
  <si>
    <t>Kenny Lawler</t>
  </si>
  <si>
    <t>Trevone Boykin</t>
  </si>
  <si>
    <t>Kevin Smith</t>
  </si>
  <si>
    <t>Torrey Smith</t>
  </si>
  <si>
    <t>Bruce Ellington</t>
  </si>
  <si>
    <t>Quinton Patton</t>
  </si>
  <si>
    <t>DeAndre Smelter</t>
  </si>
  <si>
    <t>Jerome Simpson</t>
  </si>
  <si>
    <t>Deandrew White</t>
  </si>
  <si>
    <t>Dres Anderson</t>
  </si>
  <si>
    <t>Mike Evans</t>
  </si>
  <si>
    <t>Vincent Jackson</t>
  </si>
  <si>
    <t>Kenny Bell</t>
  </si>
  <si>
    <t>Adam Humphries</t>
  </si>
  <si>
    <t>Louis Murphy</t>
  </si>
  <si>
    <t>Donteea Dye</t>
  </si>
  <si>
    <t>Russell Shepard</t>
  </si>
  <si>
    <t>Jonathan Krause</t>
  </si>
  <si>
    <t>Rishard Matthews</t>
  </si>
  <si>
    <t>Kendall Wright</t>
  </si>
  <si>
    <t>Dorial Green-Beckham</t>
  </si>
  <si>
    <t>Tajae Sharpe</t>
  </si>
  <si>
    <t>Justin Hunter</t>
  </si>
  <si>
    <t>Andre Johnson</t>
  </si>
  <si>
    <t>Harry Douglas</t>
  </si>
  <si>
    <t>Tre McBride</t>
  </si>
  <si>
    <t>DeSean Jackson</t>
  </si>
  <si>
    <t>Pierre Garcon</t>
  </si>
  <si>
    <t>Josh Doctson</t>
  </si>
  <si>
    <t>Jamison Crowder</t>
  </si>
  <si>
    <t>Ryan Grant</t>
  </si>
  <si>
    <t>Rashad Ross</t>
  </si>
  <si>
    <t>Antonio Gates</t>
  </si>
  <si>
    <t>Hunter Henry</t>
  </si>
  <si>
    <t>Jeff Cumberland</t>
  </si>
  <si>
    <t>Sean McGrath</t>
  </si>
  <si>
    <t>Jimmy Graham</t>
  </si>
  <si>
    <t>Luke Willson</t>
  </si>
  <si>
    <t>Nick Vannett</t>
  </si>
  <si>
    <t>Cooper Helfet</t>
  </si>
  <si>
    <t>Brandon Williams</t>
  </si>
  <si>
    <t>Vance McDonald</t>
  </si>
  <si>
    <t>Garrett Celek</t>
  </si>
  <si>
    <t>Blake Bell</t>
  </si>
  <si>
    <t>Austin Seferian-Jenkins</t>
  </si>
  <si>
    <t>Cameron Brate</t>
  </si>
  <si>
    <t>Luke Stocker</t>
  </si>
  <si>
    <t>Brandon Myers</t>
  </si>
  <si>
    <t>Delanie Walker</t>
  </si>
  <si>
    <t>Craig Stevens</t>
  </si>
  <si>
    <t>Anthony Fasano</t>
  </si>
  <si>
    <t>Phillip Supernaw</t>
  </si>
  <si>
    <t>Jordan Reed</t>
  </si>
  <si>
    <t>Vernon Davis</t>
  </si>
  <si>
    <t>Derek Carrier</t>
  </si>
  <si>
    <t>Niles Paul</t>
  </si>
  <si>
    <t>Logan Paulsen</t>
  </si>
  <si>
    <t>Marcel Jensen</t>
  </si>
  <si>
    <t>Josh Lambo</t>
  </si>
  <si>
    <t>Steven Hauschka</t>
  </si>
  <si>
    <t>Phil Dawson</t>
  </si>
  <si>
    <t>Roberto Aguayo</t>
  </si>
  <si>
    <t>Ryan Succop</t>
  </si>
  <si>
    <t>Dustin Hopkins</t>
  </si>
  <si>
    <t>San Diego Chargers</t>
  </si>
  <si>
    <t>Seattle Seahawks</t>
  </si>
  <si>
    <t>San Francisco 49ers</t>
  </si>
  <si>
    <t>Tampa Bay Buccaneers</t>
  </si>
  <si>
    <t>Tennessee Titans</t>
  </si>
  <si>
    <t>Washington Redskins</t>
  </si>
  <si>
    <t>La Liga Points</t>
  </si>
  <si>
    <t>D</t>
  </si>
  <si>
    <t>VORP</t>
  </si>
  <si>
    <t>Total Rank</t>
  </si>
  <si>
    <t>Position</t>
  </si>
  <si>
    <t>Rank</t>
  </si>
  <si>
    <t>Selected Player</t>
  </si>
  <si>
    <t>Remaining Rank</t>
  </si>
  <si>
    <t>Expected Round</t>
  </si>
  <si>
    <t>Early</t>
  </si>
  <si>
    <t>Late</t>
  </si>
  <si>
    <t>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</si>
</sst>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6">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indexed="13"/>
        <bgColor indexed="64"/>
      </patternFill>
    </fill>
    <fill>
      <patternFill patternType="solid">
        <fgColor rgb="FFFF00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4">
    <xf numFmtId="0" fontId="0" fillId="0" borderId="0" xfId="0"/>
    <xf numFmtId="4" fontId="0" fillId="0" borderId="0" xfId="0" applyNumberFormat="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3" borderId="1" xfId="0" applyFill="1" applyBorder="1"/>
    <xf numFmtId="0" fontId="0" fillId="4" borderId="0" xfId="0" applyFill="1"/>
    <xf numFmtId="0" fontId="0" fillId="0" borderId="0" xfId="0" applyFill="1"/>
    <xf numFmtId="0" fontId="0" fillId="5"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ExternalData_186" connectionId="9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06"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lData_36" connectionId="14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lData_205" connectionId="11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lData_19" connectionId="12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lData_214" connectionId="12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lData_112" connectionId="1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lData_191" connectionId="9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lData_211" connectionId="12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lData_18" connectionId="11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lData_29" connectionId="11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lData_122" connectionId="2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lData_183" connectionId="8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lData_65" connectionId="18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lData_49" connectionId="16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lData_80" connectionId="19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lData_226" connectionId="13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lData_209" connectionId="11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lData_216" connectionId="12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lData_174" connectionId="7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lData_149" connectionId="5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lData_169" connectionId="7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lData_173" connectionId="7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lData_172" connectionId="7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lData_70" connectionId="18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lData_218" connectionId="12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lData_189" connectionId="9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lData_199" connectionId="10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lData_217" connectionId="12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lData_206" connectionId="116"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lData_116" connectionId="1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lData_115" connectionId="1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lData_163" connectionId="6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lData_162" connectionId="66"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lData_44" connectionId="156"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lData_33" connectionId="17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lData_64" connectionId="17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lData_114" connectionId="1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lData_178" connectionId="8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lData_198" connectionId="10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lData_196" connectionId="10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lData_195" connectionId="103"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lData_153" connectionId="5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lData_152" connectionId="55"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lData_151" connectionId="5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lData_208" connectionId="11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lData_126" connectionId="2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lData_125" connectionId="2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lData_197" connectionId="10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lData_168" connectionId="7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lData_188" connectionId="9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lData_185" connectionId="9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lData_142" connectionId="4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lData_141" connectionId="4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lData_39" connectionId="15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lData_95" connectionId="21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lData_94" connectionId="21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lData_26" connectionId="14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lData_59" connectionId="17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lData_104" connectionId="2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lData_124" connectionId="2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lData_123" connectionId="2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lData_175" connectionId="8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lData_120" connectionId="2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lData_132" connectionId="3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lData_131" connectionId="3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lData_128" connectionId="2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lData_105" connectionId="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lData_187" connectionId="9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lData_176" connectionId="8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lData_148" connectionId="5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lData_147" connectionId="50"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lData_113" connectionId="1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lData_164" connectionId="6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lData_98" connectionId="21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lData_118" connectionId="1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lData_74" connectionId="18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lData_6" connectionId="20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lData_38" connectionId="15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lData_43" connectionId="15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lData_84" connectionId="2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lData_158" connectionId="6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lData_103" connectionId="22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lData_154" connectionId="5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lData_102" connectionId="22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lData_99" connectionId="21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lData_88" connectionId="20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lData_108" connectionId="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lData_220" connectionId="13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lData_166" connectionId="7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lData_155" connectionId="5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lData_53" connectionId="16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lData_73" connectionId="18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lData_93" connectionId="21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lData_92" connectionId="20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lData_47" connectionId="16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lData_110" connectionId="9"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lData_119" connectionId="1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lData_144" connectionId="4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lData_12" connectionId="4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lData_77" connectionId="19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lData_204" connectionId="11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lData_97" connectionId="21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lData_86" connectionId="20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lData_225" connectionId="13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lData_13" connectionId="58"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lData_224" connectionId="13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lData_48" connectionId="16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lData_160" connectionId="6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lData_138" connectionId="4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lData_180" connectionId="8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lData_200" connectionId="10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lData_7" connectionId="21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lData_165" connectionId="7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lData_54" connectionId="16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lData_85" connectionId="20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lData_137" connectionId="3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lData_82" connectionId="19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lData_81" connectionId="19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lData_100" connectionId="21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lData_17" connectionId="10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lData_109" connectionId="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lData_89" connectionId="20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lData_67" connectionId="18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lData_194" connectionId="10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lData_87" connectionId="20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lData_177" connectionId="8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lData_145" connectionId="4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lData_150" connectionId="5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lData_32" connectionId="16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lData_170" connectionId="7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lData_190" connectionId="9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lData_210" connectionId="12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lData_9" connectionId="1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lData_193" connectionId="1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lData_91" connectionId="20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lData_101" connectionId="21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lData_52" connectionId="16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lData_72" connectionId="18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lData_71" connectionId="18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lData_25" connectionId="14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lData_121" connectionId="2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lData_79" connectionId="19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lData_184" connectionId="9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lData_56" connectionId="17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lData_76" connectionId="19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lData_15" connectionId="8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lData_14" connectionId="6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lData_11" connectionId="3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lData_139" connectionId="4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lData_159" connectionId="6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lData_179" connectionId="8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lData_90" connectionId="20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lData_219" connectionId="13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lData_63" connectionId="17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lData_83" connectionId="19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lData_61" connectionId="17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lData_60" connectionId="17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lData_143" connectionId="4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lData_46" connectionId="15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lData_221" connectionId="13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lData_156" connectionId="6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lData_140" connectionId="42"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lData_134" connectionId="3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lData_28" connectionId="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lData_31" connectionId="15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lData_51" connectionId="16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lData_50" connectionId="16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lData_223" connectionId="13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lData_35" connectionId="14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lData_55" connectionId="16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lData_69" connectionId="18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lData_203" connectionId="11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lData_213" connectionId="12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lData_20" connectionId="13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lData_42" connectionId="15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lData_62" connectionId="17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lData_40" connectionId="15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lData_129" connectionId="3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lData_111" connectionId="1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lData_78" connectionId="19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lData_10" connectionId="2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lData_66" connectionId="18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lData_135" connectionId="3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lData_117" connectionId="17"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lData_212" connectionId="12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lData_27" connectionId="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lData_30" connectionId="14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lData_192" connectionId="9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lData_167" connectionId="7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ternalData_58" connectionId="17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lData_133" connectionId="3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ternalData_22" connectionId="14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lData_34" connectionId="14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ternalData_182" connectionId="8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ternalData_202" connectionId="11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ternalData_16" connectionId="9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ternalData_41" connectionId="15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ternalData_96" connectionId="21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lData_127" connectionId="2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ternalData_157" connectionId="6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ternalData_207" connectionId="11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lData_57" connectionId="17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lData_222" connectionId="13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lData_45" connectionId="15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ternalData_130" connectionId="3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lData_24" connectionId="14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ternalData_161" connectionId="6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ternalData_171" connectionId="7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ternalData_5" connectionId="19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lData_23" connectionId="14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lData_146" connectionId="4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ternalData_68" connectionId="18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ternalData_215" connectionId="12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ternalData_8" connectionId="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ternalData_181" connectionId="8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ternalData_37" connectionId="14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ternalData_107" connectionId="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ternalData_75" connectionId="19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ternalData_201" connectionId="10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lData_21" connectionId="13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ternalData_136" connectionId="3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21" Type="http://schemas.openxmlformats.org/officeDocument/2006/relationships/queryTable" Target="../queryTables/queryTable20.xml"/><Relationship Id="rId42" Type="http://schemas.openxmlformats.org/officeDocument/2006/relationships/queryTable" Target="../queryTables/queryTable41.xml"/><Relationship Id="rId63" Type="http://schemas.openxmlformats.org/officeDocument/2006/relationships/queryTable" Target="../queryTables/queryTable62.xml"/><Relationship Id="rId84" Type="http://schemas.openxmlformats.org/officeDocument/2006/relationships/queryTable" Target="../queryTables/queryTable83.xml"/><Relationship Id="rId138" Type="http://schemas.openxmlformats.org/officeDocument/2006/relationships/queryTable" Target="../queryTables/queryTable137.xml"/><Relationship Id="rId159" Type="http://schemas.openxmlformats.org/officeDocument/2006/relationships/queryTable" Target="../queryTables/queryTable158.xml"/><Relationship Id="rId170" Type="http://schemas.openxmlformats.org/officeDocument/2006/relationships/queryTable" Target="../queryTables/queryTable169.xml"/><Relationship Id="rId191" Type="http://schemas.openxmlformats.org/officeDocument/2006/relationships/queryTable" Target="../queryTables/queryTable190.xml"/><Relationship Id="rId205" Type="http://schemas.openxmlformats.org/officeDocument/2006/relationships/queryTable" Target="../queryTables/queryTable204.xml"/><Relationship Id="rId107" Type="http://schemas.openxmlformats.org/officeDocument/2006/relationships/queryTable" Target="../queryTables/queryTable106.xml"/><Relationship Id="rId11" Type="http://schemas.openxmlformats.org/officeDocument/2006/relationships/queryTable" Target="../queryTables/queryTable10.xml"/><Relationship Id="rId32" Type="http://schemas.openxmlformats.org/officeDocument/2006/relationships/queryTable" Target="../queryTables/queryTable31.xml"/><Relationship Id="rId53" Type="http://schemas.openxmlformats.org/officeDocument/2006/relationships/queryTable" Target="../queryTables/queryTable52.xml"/><Relationship Id="rId74" Type="http://schemas.openxmlformats.org/officeDocument/2006/relationships/queryTable" Target="../queryTables/queryTable73.xml"/><Relationship Id="rId128" Type="http://schemas.openxmlformats.org/officeDocument/2006/relationships/queryTable" Target="../queryTables/queryTable127.xml"/><Relationship Id="rId149" Type="http://schemas.openxmlformats.org/officeDocument/2006/relationships/queryTable" Target="../queryTables/queryTable148.xml"/><Relationship Id="rId5" Type="http://schemas.openxmlformats.org/officeDocument/2006/relationships/queryTable" Target="../queryTables/queryTable4.xml"/><Relationship Id="rId95" Type="http://schemas.openxmlformats.org/officeDocument/2006/relationships/queryTable" Target="../queryTables/queryTable94.xml"/><Relationship Id="rId160" Type="http://schemas.openxmlformats.org/officeDocument/2006/relationships/queryTable" Target="../queryTables/queryTable159.xml"/><Relationship Id="rId181" Type="http://schemas.openxmlformats.org/officeDocument/2006/relationships/queryTable" Target="../queryTables/queryTable180.xml"/><Relationship Id="rId216" Type="http://schemas.openxmlformats.org/officeDocument/2006/relationships/queryTable" Target="../queryTables/queryTable215.xml"/><Relationship Id="rId22" Type="http://schemas.openxmlformats.org/officeDocument/2006/relationships/queryTable" Target="../queryTables/queryTable21.xml"/><Relationship Id="rId43" Type="http://schemas.openxmlformats.org/officeDocument/2006/relationships/queryTable" Target="../queryTables/queryTable42.xml"/><Relationship Id="rId64" Type="http://schemas.openxmlformats.org/officeDocument/2006/relationships/queryTable" Target="../queryTables/queryTable63.xml"/><Relationship Id="rId118" Type="http://schemas.openxmlformats.org/officeDocument/2006/relationships/queryTable" Target="../queryTables/queryTable117.xml"/><Relationship Id="rId139" Type="http://schemas.openxmlformats.org/officeDocument/2006/relationships/queryTable" Target="../queryTables/queryTable138.xml"/><Relationship Id="rId85" Type="http://schemas.openxmlformats.org/officeDocument/2006/relationships/queryTable" Target="../queryTables/queryTable84.xml"/><Relationship Id="rId150" Type="http://schemas.openxmlformats.org/officeDocument/2006/relationships/queryTable" Target="../queryTables/queryTable149.xml"/><Relationship Id="rId171" Type="http://schemas.openxmlformats.org/officeDocument/2006/relationships/queryTable" Target="../queryTables/queryTable170.xml"/><Relationship Id="rId192" Type="http://schemas.openxmlformats.org/officeDocument/2006/relationships/queryTable" Target="../queryTables/queryTable191.xml"/><Relationship Id="rId206" Type="http://schemas.openxmlformats.org/officeDocument/2006/relationships/queryTable" Target="../queryTables/queryTable205.xml"/><Relationship Id="rId12" Type="http://schemas.openxmlformats.org/officeDocument/2006/relationships/queryTable" Target="../queryTables/queryTable11.xml"/><Relationship Id="rId33" Type="http://schemas.openxmlformats.org/officeDocument/2006/relationships/queryTable" Target="../queryTables/queryTable32.xml"/><Relationship Id="rId108" Type="http://schemas.openxmlformats.org/officeDocument/2006/relationships/queryTable" Target="../queryTables/queryTable107.xml"/><Relationship Id="rId129" Type="http://schemas.openxmlformats.org/officeDocument/2006/relationships/queryTable" Target="../queryTables/queryTable128.xml"/><Relationship Id="rId54" Type="http://schemas.openxmlformats.org/officeDocument/2006/relationships/queryTable" Target="../queryTables/queryTable53.xml"/><Relationship Id="rId75" Type="http://schemas.openxmlformats.org/officeDocument/2006/relationships/queryTable" Target="../queryTables/queryTable74.xml"/><Relationship Id="rId96" Type="http://schemas.openxmlformats.org/officeDocument/2006/relationships/queryTable" Target="../queryTables/queryTable95.xml"/><Relationship Id="rId140" Type="http://schemas.openxmlformats.org/officeDocument/2006/relationships/queryTable" Target="../queryTables/queryTable139.xml"/><Relationship Id="rId161" Type="http://schemas.openxmlformats.org/officeDocument/2006/relationships/queryTable" Target="../queryTables/queryTable160.xml"/><Relationship Id="rId182" Type="http://schemas.openxmlformats.org/officeDocument/2006/relationships/queryTable" Target="../queryTables/queryTable181.xml"/><Relationship Id="rId217" Type="http://schemas.openxmlformats.org/officeDocument/2006/relationships/queryTable" Target="../queryTables/queryTable216.xml"/><Relationship Id="rId6" Type="http://schemas.openxmlformats.org/officeDocument/2006/relationships/queryTable" Target="../queryTables/queryTable5.xml"/><Relationship Id="rId23" Type="http://schemas.openxmlformats.org/officeDocument/2006/relationships/queryTable" Target="../queryTables/queryTable22.xml"/><Relationship Id="rId119" Type="http://schemas.openxmlformats.org/officeDocument/2006/relationships/queryTable" Target="../queryTables/queryTable118.xml"/><Relationship Id="rId44" Type="http://schemas.openxmlformats.org/officeDocument/2006/relationships/queryTable" Target="../queryTables/queryTable43.xml"/><Relationship Id="rId65" Type="http://schemas.openxmlformats.org/officeDocument/2006/relationships/queryTable" Target="../queryTables/queryTable64.xml"/><Relationship Id="rId86" Type="http://schemas.openxmlformats.org/officeDocument/2006/relationships/queryTable" Target="../queryTables/queryTable85.xml"/><Relationship Id="rId130" Type="http://schemas.openxmlformats.org/officeDocument/2006/relationships/queryTable" Target="../queryTables/queryTable129.xml"/><Relationship Id="rId151" Type="http://schemas.openxmlformats.org/officeDocument/2006/relationships/queryTable" Target="../queryTables/queryTable150.xml"/><Relationship Id="rId172" Type="http://schemas.openxmlformats.org/officeDocument/2006/relationships/queryTable" Target="../queryTables/queryTable17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13" Type="http://schemas.openxmlformats.org/officeDocument/2006/relationships/queryTable" Target="../queryTables/queryTable12.xml"/><Relationship Id="rId109" Type="http://schemas.openxmlformats.org/officeDocument/2006/relationships/queryTable" Target="../queryTables/queryTable108.xml"/><Relationship Id="rId34" Type="http://schemas.openxmlformats.org/officeDocument/2006/relationships/queryTable" Target="../queryTables/queryTable33.xml"/><Relationship Id="rId55" Type="http://schemas.openxmlformats.org/officeDocument/2006/relationships/queryTable" Target="../queryTables/queryTable54.xml"/><Relationship Id="rId76" Type="http://schemas.openxmlformats.org/officeDocument/2006/relationships/queryTable" Target="../queryTables/queryTable75.xml"/><Relationship Id="rId97" Type="http://schemas.openxmlformats.org/officeDocument/2006/relationships/queryTable" Target="../queryTables/queryTable96.xml"/><Relationship Id="rId120" Type="http://schemas.openxmlformats.org/officeDocument/2006/relationships/queryTable" Target="../queryTables/queryTable119.xml"/><Relationship Id="rId141" Type="http://schemas.openxmlformats.org/officeDocument/2006/relationships/queryTable" Target="../queryTables/queryTable140.xml"/><Relationship Id="rId7" Type="http://schemas.openxmlformats.org/officeDocument/2006/relationships/queryTable" Target="../queryTables/queryTable6.xml"/><Relationship Id="rId162" Type="http://schemas.openxmlformats.org/officeDocument/2006/relationships/queryTable" Target="../queryTables/queryTable161.xml"/><Relationship Id="rId183" Type="http://schemas.openxmlformats.org/officeDocument/2006/relationships/queryTable" Target="../queryTables/queryTable182.xml"/><Relationship Id="rId218" Type="http://schemas.openxmlformats.org/officeDocument/2006/relationships/queryTable" Target="../queryTables/queryTable217.xml"/><Relationship Id="rId24" Type="http://schemas.openxmlformats.org/officeDocument/2006/relationships/queryTable" Target="../queryTables/queryTable23.xml"/><Relationship Id="rId45" Type="http://schemas.openxmlformats.org/officeDocument/2006/relationships/queryTable" Target="../queryTables/queryTable44.xml"/><Relationship Id="rId66" Type="http://schemas.openxmlformats.org/officeDocument/2006/relationships/queryTable" Target="../queryTables/queryTable65.xml"/><Relationship Id="rId87" Type="http://schemas.openxmlformats.org/officeDocument/2006/relationships/queryTable" Target="../queryTables/queryTable86.xml"/><Relationship Id="rId110" Type="http://schemas.openxmlformats.org/officeDocument/2006/relationships/queryTable" Target="../queryTables/queryTable109.xml"/><Relationship Id="rId131" Type="http://schemas.openxmlformats.org/officeDocument/2006/relationships/queryTable" Target="../queryTables/queryTable130.xml"/><Relationship Id="rId152" Type="http://schemas.openxmlformats.org/officeDocument/2006/relationships/queryTable" Target="../queryTables/queryTable151.xml"/><Relationship Id="rId173" Type="http://schemas.openxmlformats.org/officeDocument/2006/relationships/queryTable" Target="../queryTables/queryTable172.xml"/><Relationship Id="rId194" Type="http://schemas.openxmlformats.org/officeDocument/2006/relationships/queryTable" Target="../queryTables/queryTable193.xml"/><Relationship Id="rId208" Type="http://schemas.openxmlformats.org/officeDocument/2006/relationships/queryTable" Target="../queryTables/queryTable207.xml"/><Relationship Id="rId14" Type="http://schemas.openxmlformats.org/officeDocument/2006/relationships/queryTable" Target="../queryTables/queryTable13.xml"/><Relationship Id="rId35" Type="http://schemas.openxmlformats.org/officeDocument/2006/relationships/queryTable" Target="../queryTables/queryTable34.xml"/><Relationship Id="rId56" Type="http://schemas.openxmlformats.org/officeDocument/2006/relationships/queryTable" Target="../queryTables/queryTable55.xml"/><Relationship Id="rId77" Type="http://schemas.openxmlformats.org/officeDocument/2006/relationships/queryTable" Target="../queryTables/queryTable76.xml"/><Relationship Id="rId100" Type="http://schemas.openxmlformats.org/officeDocument/2006/relationships/queryTable" Target="../queryTables/queryTable99.xml"/><Relationship Id="rId8" Type="http://schemas.openxmlformats.org/officeDocument/2006/relationships/queryTable" Target="../queryTables/queryTable7.xml"/><Relationship Id="rId51" Type="http://schemas.openxmlformats.org/officeDocument/2006/relationships/queryTable" Target="../queryTables/queryTable50.xml"/><Relationship Id="rId72" Type="http://schemas.openxmlformats.org/officeDocument/2006/relationships/queryTable" Target="../queryTables/queryTable71.xml"/><Relationship Id="rId93" Type="http://schemas.openxmlformats.org/officeDocument/2006/relationships/queryTable" Target="../queryTables/queryTable92.xml"/><Relationship Id="rId98" Type="http://schemas.openxmlformats.org/officeDocument/2006/relationships/queryTable" Target="../queryTables/queryTable97.xml"/><Relationship Id="rId121" Type="http://schemas.openxmlformats.org/officeDocument/2006/relationships/queryTable" Target="../queryTables/queryTable120.xml"/><Relationship Id="rId142" Type="http://schemas.openxmlformats.org/officeDocument/2006/relationships/queryTable" Target="../queryTables/queryTable141.xml"/><Relationship Id="rId163" Type="http://schemas.openxmlformats.org/officeDocument/2006/relationships/queryTable" Target="../queryTables/queryTable162.xml"/><Relationship Id="rId184" Type="http://schemas.openxmlformats.org/officeDocument/2006/relationships/queryTable" Target="../queryTables/queryTable183.xml"/><Relationship Id="rId189" Type="http://schemas.openxmlformats.org/officeDocument/2006/relationships/queryTable" Target="../queryTables/queryTable188.xml"/><Relationship Id="rId219" Type="http://schemas.openxmlformats.org/officeDocument/2006/relationships/queryTable" Target="../queryTables/queryTable218.xml"/><Relationship Id="rId3" Type="http://schemas.openxmlformats.org/officeDocument/2006/relationships/queryTable" Target="../queryTables/queryTable2.xml"/><Relationship Id="rId214" Type="http://schemas.openxmlformats.org/officeDocument/2006/relationships/queryTable" Target="../queryTables/queryTable213.xml"/><Relationship Id="rId25" Type="http://schemas.openxmlformats.org/officeDocument/2006/relationships/queryTable" Target="../queryTables/queryTable24.xml"/><Relationship Id="rId46" Type="http://schemas.openxmlformats.org/officeDocument/2006/relationships/queryTable" Target="../queryTables/queryTable45.xml"/><Relationship Id="rId67" Type="http://schemas.openxmlformats.org/officeDocument/2006/relationships/queryTable" Target="../queryTables/queryTable66.xml"/><Relationship Id="rId116" Type="http://schemas.openxmlformats.org/officeDocument/2006/relationships/queryTable" Target="../queryTables/queryTable115.xml"/><Relationship Id="rId137" Type="http://schemas.openxmlformats.org/officeDocument/2006/relationships/queryTable" Target="../queryTables/queryTable136.xml"/><Relationship Id="rId158" Type="http://schemas.openxmlformats.org/officeDocument/2006/relationships/queryTable" Target="../queryTables/queryTable157.xml"/><Relationship Id="rId20" Type="http://schemas.openxmlformats.org/officeDocument/2006/relationships/queryTable" Target="../queryTables/queryTable19.xml"/><Relationship Id="rId41" Type="http://schemas.openxmlformats.org/officeDocument/2006/relationships/queryTable" Target="../queryTables/queryTable40.xml"/><Relationship Id="rId62" Type="http://schemas.openxmlformats.org/officeDocument/2006/relationships/queryTable" Target="../queryTables/queryTable61.xml"/><Relationship Id="rId83" Type="http://schemas.openxmlformats.org/officeDocument/2006/relationships/queryTable" Target="../queryTables/queryTable82.xml"/><Relationship Id="rId88" Type="http://schemas.openxmlformats.org/officeDocument/2006/relationships/queryTable" Target="../queryTables/queryTable87.xml"/><Relationship Id="rId111" Type="http://schemas.openxmlformats.org/officeDocument/2006/relationships/queryTable" Target="../queryTables/queryTable110.xml"/><Relationship Id="rId132" Type="http://schemas.openxmlformats.org/officeDocument/2006/relationships/queryTable" Target="../queryTables/queryTable131.xml"/><Relationship Id="rId153" Type="http://schemas.openxmlformats.org/officeDocument/2006/relationships/queryTable" Target="../queryTables/queryTable152.xml"/><Relationship Id="rId174" Type="http://schemas.openxmlformats.org/officeDocument/2006/relationships/queryTable" Target="../queryTables/queryTable173.xml"/><Relationship Id="rId179" Type="http://schemas.openxmlformats.org/officeDocument/2006/relationships/queryTable" Target="../queryTables/queryTable178.xml"/><Relationship Id="rId195" Type="http://schemas.openxmlformats.org/officeDocument/2006/relationships/queryTable" Target="../queryTables/queryTable194.xml"/><Relationship Id="rId209" Type="http://schemas.openxmlformats.org/officeDocument/2006/relationships/queryTable" Target="../queryTables/queryTable208.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20" Type="http://schemas.openxmlformats.org/officeDocument/2006/relationships/queryTable" Target="../queryTables/queryTable219.xml"/><Relationship Id="rId15" Type="http://schemas.openxmlformats.org/officeDocument/2006/relationships/queryTable" Target="../queryTables/queryTable14.xml"/><Relationship Id="rId36" Type="http://schemas.openxmlformats.org/officeDocument/2006/relationships/queryTable" Target="../queryTables/queryTable35.xml"/><Relationship Id="rId57" Type="http://schemas.openxmlformats.org/officeDocument/2006/relationships/queryTable" Target="../queryTables/queryTable56.xml"/><Relationship Id="rId106" Type="http://schemas.openxmlformats.org/officeDocument/2006/relationships/queryTable" Target="../queryTables/queryTable105.xml"/><Relationship Id="rId127" Type="http://schemas.openxmlformats.org/officeDocument/2006/relationships/queryTable" Target="../queryTables/queryTable126.xml"/><Relationship Id="rId10" Type="http://schemas.openxmlformats.org/officeDocument/2006/relationships/queryTable" Target="../queryTables/queryTable9.xml"/><Relationship Id="rId31" Type="http://schemas.openxmlformats.org/officeDocument/2006/relationships/queryTable" Target="../queryTables/queryTable30.xml"/><Relationship Id="rId52" Type="http://schemas.openxmlformats.org/officeDocument/2006/relationships/queryTable" Target="../queryTables/queryTable51.xml"/><Relationship Id="rId73" Type="http://schemas.openxmlformats.org/officeDocument/2006/relationships/queryTable" Target="../queryTables/queryTable72.xml"/><Relationship Id="rId78" Type="http://schemas.openxmlformats.org/officeDocument/2006/relationships/queryTable" Target="../queryTables/queryTable77.xml"/><Relationship Id="rId94" Type="http://schemas.openxmlformats.org/officeDocument/2006/relationships/queryTable" Target="../queryTables/queryTable93.xml"/><Relationship Id="rId99" Type="http://schemas.openxmlformats.org/officeDocument/2006/relationships/queryTable" Target="../queryTables/queryTable98.xml"/><Relationship Id="rId101" Type="http://schemas.openxmlformats.org/officeDocument/2006/relationships/queryTable" Target="../queryTables/queryTable100.xml"/><Relationship Id="rId122" Type="http://schemas.openxmlformats.org/officeDocument/2006/relationships/queryTable" Target="../queryTables/queryTable121.xml"/><Relationship Id="rId143" Type="http://schemas.openxmlformats.org/officeDocument/2006/relationships/queryTable" Target="../queryTables/queryTable142.xml"/><Relationship Id="rId148" Type="http://schemas.openxmlformats.org/officeDocument/2006/relationships/queryTable" Target="../queryTables/queryTable147.xml"/><Relationship Id="rId164" Type="http://schemas.openxmlformats.org/officeDocument/2006/relationships/queryTable" Target="../queryTables/queryTable163.xml"/><Relationship Id="rId169" Type="http://schemas.openxmlformats.org/officeDocument/2006/relationships/queryTable" Target="../queryTables/queryTable168.xml"/><Relationship Id="rId185" Type="http://schemas.openxmlformats.org/officeDocument/2006/relationships/queryTable" Target="../queryTables/queryTable184.xml"/><Relationship Id="rId4" Type="http://schemas.openxmlformats.org/officeDocument/2006/relationships/queryTable" Target="../queryTables/queryTable3.xml"/><Relationship Id="rId9" Type="http://schemas.openxmlformats.org/officeDocument/2006/relationships/queryTable" Target="../queryTables/queryTable8.xml"/><Relationship Id="rId180" Type="http://schemas.openxmlformats.org/officeDocument/2006/relationships/queryTable" Target="../queryTables/queryTable179.xml"/><Relationship Id="rId210" Type="http://schemas.openxmlformats.org/officeDocument/2006/relationships/queryTable" Target="../queryTables/queryTable209.xml"/><Relationship Id="rId215" Type="http://schemas.openxmlformats.org/officeDocument/2006/relationships/queryTable" Target="../queryTables/queryTable214.xml"/><Relationship Id="rId26" Type="http://schemas.openxmlformats.org/officeDocument/2006/relationships/queryTable" Target="../queryTables/queryTable25.xml"/><Relationship Id="rId47" Type="http://schemas.openxmlformats.org/officeDocument/2006/relationships/queryTable" Target="../queryTables/queryTable46.xml"/><Relationship Id="rId68" Type="http://schemas.openxmlformats.org/officeDocument/2006/relationships/queryTable" Target="../queryTables/queryTable67.xml"/><Relationship Id="rId89" Type="http://schemas.openxmlformats.org/officeDocument/2006/relationships/queryTable" Target="../queryTables/queryTable88.xml"/><Relationship Id="rId112" Type="http://schemas.openxmlformats.org/officeDocument/2006/relationships/queryTable" Target="../queryTables/queryTable111.xml"/><Relationship Id="rId133" Type="http://schemas.openxmlformats.org/officeDocument/2006/relationships/queryTable" Target="../queryTables/queryTable132.xml"/><Relationship Id="rId154" Type="http://schemas.openxmlformats.org/officeDocument/2006/relationships/queryTable" Target="../queryTables/queryTable153.xml"/><Relationship Id="rId175" Type="http://schemas.openxmlformats.org/officeDocument/2006/relationships/queryTable" Target="../queryTables/queryTable174.xml"/><Relationship Id="rId196" Type="http://schemas.openxmlformats.org/officeDocument/2006/relationships/queryTable" Target="../queryTables/queryTable195.xml"/><Relationship Id="rId200" Type="http://schemas.openxmlformats.org/officeDocument/2006/relationships/queryTable" Target="../queryTables/queryTable199.xml"/><Relationship Id="rId16" Type="http://schemas.openxmlformats.org/officeDocument/2006/relationships/queryTable" Target="../queryTables/queryTable15.xml"/><Relationship Id="rId221" Type="http://schemas.openxmlformats.org/officeDocument/2006/relationships/queryTable" Target="../queryTables/queryTable220.xml"/><Relationship Id="rId37" Type="http://schemas.openxmlformats.org/officeDocument/2006/relationships/queryTable" Target="../queryTables/queryTable36.xml"/><Relationship Id="rId58" Type="http://schemas.openxmlformats.org/officeDocument/2006/relationships/queryTable" Target="../queryTables/queryTable57.xml"/><Relationship Id="rId79" Type="http://schemas.openxmlformats.org/officeDocument/2006/relationships/queryTable" Target="../queryTables/queryTable78.xml"/><Relationship Id="rId102" Type="http://schemas.openxmlformats.org/officeDocument/2006/relationships/queryTable" Target="../queryTables/queryTable101.xml"/><Relationship Id="rId123" Type="http://schemas.openxmlformats.org/officeDocument/2006/relationships/queryTable" Target="../queryTables/queryTable122.xml"/><Relationship Id="rId144" Type="http://schemas.openxmlformats.org/officeDocument/2006/relationships/queryTable" Target="../queryTables/queryTable143.xml"/><Relationship Id="rId90" Type="http://schemas.openxmlformats.org/officeDocument/2006/relationships/queryTable" Target="../queryTables/queryTable89.xml"/><Relationship Id="rId165" Type="http://schemas.openxmlformats.org/officeDocument/2006/relationships/queryTable" Target="../queryTables/queryTable164.xml"/><Relationship Id="rId186" Type="http://schemas.openxmlformats.org/officeDocument/2006/relationships/queryTable" Target="../queryTables/queryTable185.xml"/><Relationship Id="rId211" Type="http://schemas.openxmlformats.org/officeDocument/2006/relationships/queryTable" Target="../queryTables/queryTable210.xml"/><Relationship Id="rId27" Type="http://schemas.openxmlformats.org/officeDocument/2006/relationships/queryTable" Target="../queryTables/queryTable26.xml"/><Relationship Id="rId48" Type="http://schemas.openxmlformats.org/officeDocument/2006/relationships/queryTable" Target="../queryTables/queryTable47.xml"/><Relationship Id="rId69" Type="http://schemas.openxmlformats.org/officeDocument/2006/relationships/queryTable" Target="../queryTables/queryTable68.xml"/><Relationship Id="rId113" Type="http://schemas.openxmlformats.org/officeDocument/2006/relationships/queryTable" Target="../queryTables/queryTable112.xml"/><Relationship Id="rId134" Type="http://schemas.openxmlformats.org/officeDocument/2006/relationships/queryTable" Target="../queryTables/queryTable133.xml"/><Relationship Id="rId80" Type="http://schemas.openxmlformats.org/officeDocument/2006/relationships/queryTable" Target="../queryTables/queryTable79.xml"/><Relationship Id="rId155" Type="http://schemas.openxmlformats.org/officeDocument/2006/relationships/queryTable" Target="../queryTables/queryTable154.xml"/><Relationship Id="rId176" Type="http://schemas.openxmlformats.org/officeDocument/2006/relationships/queryTable" Target="../queryTables/queryTable175.xml"/><Relationship Id="rId197" Type="http://schemas.openxmlformats.org/officeDocument/2006/relationships/queryTable" Target="../queryTables/queryTable196.xml"/><Relationship Id="rId201" Type="http://schemas.openxmlformats.org/officeDocument/2006/relationships/queryTable" Target="../queryTables/queryTable200.xml"/><Relationship Id="rId222" Type="http://schemas.openxmlformats.org/officeDocument/2006/relationships/queryTable" Target="../queryTables/queryTable221.xml"/><Relationship Id="rId17" Type="http://schemas.openxmlformats.org/officeDocument/2006/relationships/queryTable" Target="../queryTables/queryTable16.xml"/><Relationship Id="rId38" Type="http://schemas.openxmlformats.org/officeDocument/2006/relationships/queryTable" Target="../queryTables/queryTable37.xml"/><Relationship Id="rId59" Type="http://schemas.openxmlformats.org/officeDocument/2006/relationships/queryTable" Target="../queryTables/queryTable58.xml"/><Relationship Id="rId103" Type="http://schemas.openxmlformats.org/officeDocument/2006/relationships/queryTable" Target="../queryTables/queryTable102.xml"/><Relationship Id="rId124" Type="http://schemas.openxmlformats.org/officeDocument/2006/relationships/queryTable" Target="../queryTables/queryTable123.xml"/><Relationship Id="rId70" Type="http://schemas.openxmlformats.org/officeDocument/2006/relationships/queryTable" Target="../queryTables/queryTable69.xml"/><Relationship Id="rId91" Type="http://schemas.openxmlformats.org/officeDocument/2006/relationships/queryTable" Target="../queryTables/queryTable90.xml"/><Relationship Id="rId145" Type="http://schemas.openxmlformats.org/officeDocument/2006/relationships/queryTable" Target="../queryTables/queryTable144.xml"/><Relationship Id="rId166" Type="http://schemas.openxmlformats.org/officeDocument/2006/relationships/queryTable" Target="../queryTables/queryTable165.xml"/><Relationship Id="rId187" Type="http://schemas.openxmlformats.org/officeDocument/2006/relationships/queryTable" Target="../queryTables/queryTable186.xml"/><Relationship Id="rId1" Type="http://schemas.openxmlformats.org/officeDocument/2006/relationships/printerSettings" Target="../printerSettings/printerSettings1.bin"/><Relationship Id="rId212" Type="http://schemas.openxmlformats.org/officeDocument/2006/relationships/queryTable" Target="../queryTables/queryTable211.xml"/><Relationship Id="rId28" Type="http://schemas.openxmlformats.org/officeDocument/2006/relationships/queryTable" Target="../queryTables/queryTable27.xml"/><Relationship Id="rId49" Type="http://schemas.openxmlformats.org/officeDocument/2006/relationships/queryTable" Target="../queryTables/queryTable48.xml"/><Relationship Id="rId114" Type="http://schemas.openxmlformats.org/officeDocument/2006/relationships/queryTable" Target="../queryTables/queryTable113.xml"/><Relationship Id="rId60" Type="http://schemas.openxmlformats.org/officeDocument/2006/relationships/queryTable" Target="../queryTables/queryTable59.xml"/><Relationship Id="rId81" Type="http://schemas.openxmlformats.org/officeDocument/2006/relationships/queryTable" Target="../queryTables/queryTable80.xml"/><Relationship Id="rId135" Type="http://schemas.openxmlformats.org/officeDocument/2006/relationships/queryTable" Target="../queryTables/queryTable134.xml"/><Relationship Id="rId156" Type="http://schemas.openxmlformats.org/officeDocument/2006/relationships/queryTable" Target="../queryTables/queryTable155.xml"/><Relationship Id="rId177" Type="http://schemas.openxmlformats.org/officeDocument/2006/relationships/queryTable" Target="../queryTables/queryTable176.xml"/><Relationship Id="rId198" Type="http://schemas.openxmlformats.org/officeDocument/2006/relationships/queryTable" Target="../queryTables/queryTable197.xml"/><Relationship Id="rId202" Type="http://schemas.openxmlformats.org/officeDocument/2006/relationships/queryTable" Target="../queryTables/queryTable201.xml"/><Relationship Id="rId223" Type="http://schemas.openxmlformats.org/officeDocument/2006/relationships/queryTable" Target="../queryTables/queryTable222.xml"/><Relationship Id="rId18" Type="http://schemas.openxmlformats.org/officeDocument/2006/relationships/queryTable" Target="../queryTables/queryTable17.xml"/><Relationship Id="rId39" Type="http://schemas.openxmlformats.org/officeDocument/2006/relationships/queryTable" Target="../queryTables/queryTable38.xml"/><Relationship Id="rId50" Type="http://schemas.openxmlformats.org/officeDocument/2006/relationships/queryTable" Target="../queryTables/queryTable49.xml"/><Relationship Id="rId104" Type="http://schemas.openxmlformats.org/officeDocument/2006/relationships/queryTable" Target="../queryTables/queryTable103.xml"/><Relationship Id="rId125" Type="http://schemas.openxmlformats.org/officeDocument/2006/relationships/queryTable" Target="../queryTables/queryTable124.xml"/><Relationship Id="rId146" Type="http://schemas.openxmlformats.org/officeDocument/2006/relationships/queryTable" Target="../queryTables/queryTable145.xml"/><Relationship Id="rId167" Type="http://schemas.openxmlformats.org/officeDocument/2006/relationships/queryTable" Target="../queryTables/queryTable166.xml"/><Relationship Id="rId188" Type="http://schemas.openxmlformats.org/officeDocument/2006/relationships/queryTable" Target="../queryTables/queryTable187.xml"/><Relationship Id="rId71" Type="http://schemas.openxmlformats.org/officeDocument/2006/relationships/queryTable" Target="../queryTables/queryTable70.xml"/><Relationship Id="rId92" Type="http://schemas.openxmlformats.org/officeDocument/2006/relationships/queryTable" Target="../queryTables/queryTable91.xml"/><Relationship Id="rId213" Type="http://schemas.openxmlformats.org/officeDocument/2006/relationships/queryTable" Target="../queryTables/queryTable212.xml"/><Relationship Id="rId2" Type="http://schemas.openxmlformats.org/officeDocument/2006/relationships/queryTable" Target="../queryTables/queryTable1.xml"/><Relationship Id="rId29" Type="http://schemas.openxmlformats.org/officeDocument/2006/relationships/queryTable" Target="../queryTables/queryTable28.xml"/><Relationship Id="rId40" Type="http://schemas.openxmlformats.org/officeDocument/2006/relationships/queryTable" Target="../queryTables/queryTable39.xml"/><Relationship Id="rId115" Type="http://schemas.openxmlformats.org/officeDocument/2006/relationships/queryTable" Target="../queryTables/queryTable114.xml"/><Relationship Id="rId136" Type="http://schemas.openxmlformats.org/officeDocument/2006/relationships/queryTable" Target="../queryTables/queryTable135.xml"/><Relationship Id="rId157" Type="http://schemas.openxmlformats.org/officeDocument/2006/relationships/queryTable" Target="../queryTables/queryTable156.xml"/><Relationship Id="rId178" Type="http://schemas.openxmlformats.org/officeDocument/2006/relationships/queryTable" Target="../queryTables/queryTable177.xml"/><Relationship Id="rId61" Type="http://schemas.openxmlformats.org/officeDocument/2006/relationships/queryTable" Target="../queryTables/queryTable60.xml"/><Relationship Id="rId82" Type="http://schemas.openxmlformats.org/officeDocument/2006/relationships/queryTable" Target="../queryTables/queryTable81.xml"/><Relationship Id="rId199" Type="http://schemas.openxmlformats.org/officeDocument/2006/relationships/queryTable" Target="../queryTables/queryTable198.xml"/><Relationship Id="rId203" Type="http://schemas.openxmlformats.org/officeDocument/2006/relationships/queryTable" Target="../queryTables/queryTable202.xml"/><Relationship Id="rId19" Type="http://schemas.openxmlformats.org/officeDocument/2006/relationships/queryTable" Target="../queryTables/queryTable18.xml"/><Relationship Id="rId30" Type="http://schemas.openxmlformats.org/officeDocument/2006/relationships/queryTable" Target="../queryTables/queryTable29.xml"/><Relationship Id="rId105" Type="http://schemas.openxmlformats.org/officeDocument/2006/relationships/queryTable" Target="../queryTables/queryTable104.xml"/><Relationship Id="rId126" Type="http://schemas.openxmlformats.org/officeDocument/2006/relationships/queryTable" Target="../queryTables/queryTable125.xml"/><Relationship Id="rId147" Type="http://schemas.openxmlformats.org/officeDocument/2006/relationships/queryTable" Target="../queryTables/queryTable146.xml"/><Relationship Id="rId168" Type="http://schemas.openxmlformats.org/officeDocument/2006/relationships/queryTable" Target="../queryTables/queryTable16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24"/>
  <sheetViews>
    <sheetView workbookViewId="0">
      <selection activeCell="K10" sqref="K10"/>
    </sheetView>
  </sheetViews>
  <sheetFormatPr defaultRowHeight="15" x14ac:dyDescent="0.25"/>
  <cols>
    <col min="1" max="1" width="3.140625" customWidth="1"/>
    <col min="2" max="2" width="3" customWidth="1"/>
    <col min="3" max="3" width="20.140625" customWidth="1"/>
    <col min="4" max="4" width="4.28515625" customWidth="1"/>
    <col min="5" max="5" width="5.85546875" customWidth="1"/>
    <col min="6" max="6" width="4.85546875" customWidth="1"/>
    <col min="7" max="7" width="3.85546875" customWidth="1"/>
    <col min="8" max="8" width="5.7109375" customWidth="1"/>
    <col min="9" max="9" width="7.42578125" customWidth="1"/>
    <col min="10" max="10" width="5.5703125" customWidth="1"/>
    <col min="11" max="11" width="8.42578125" customWidth="1"/>
    <col min="12" max="12" width="8.140625" customWidth="1"/>
    <col min="13" max="13" width="6.85546875" customWidth="1"/>
    <col min="14" max="14" width="9.7109375" customWidth="1"/>
    <col min="15" max="15" width="11.5703125" customWidth="1"/>
    <col min="16" max="16" width="4.5703125" customWidth="1"/>
    <col min="17" max="17" width="13.85546875" customWidth="1"/>
    <col min="18" max="18" width="4.85546875" customWidth="1"/>
    <col min="19" max="20" width="4.5703125" customWidth="1"/>
    <col min="21" max="21" width="13.85546875" bestFit="1" customWidth="1"/>
  </cols>
  <sheetData>
    <row r="1" spans="1:17" x14ac:dyDescent="0.25">
      <c r="A1" t="s">
        <v>0</v>
      </c>
      <c r="O1">
        <f>14*15</f>
        <v>210</v>
      </c>
    </row>
    <row r="2" spans="1:17" x14ac:dyDescent="0.25">
      <c r="A2" t="s">
        <v>1</v>
      </c>
      <c r="N2" t="s">
        <v>116</v>
      </c>
      <c r="O2">
        <v>20</v>
      </c>
    </row>
    <row r="3" spans="1:17" x14ac:dyDescent="0.25">
      <c r="A3" t="s">
        <v>2</v>
      </c>
      <c r="N3" t="s">
        <v>139</v>
      </c>
      <c r="O3">
        <v>53</v>
      </c>
    </row>
    <row r="4" spans="1:17" x14ac:dyDescent="0.25">
      <c r="A4" t="s">
        <v>3</v>
      </c>
      <c r="N4" t="s">
        <v>145</v>
      </c>
      <c r="O4">
        <v>82</v>
      </c>
    </row>
    <row r="5" spans="1:17" x14ac:dyDescent="0.25">
      <c r="N5" t="s">
        <v>153</v>
      </c>
      <c r="O5">
        <v>27</v>
      </c>
      <c r="Q5">
        <v>95</v>
      </c>
    </row>
    <row r="6" spans="1:17" x14ac:dyDescent="0.25">
      <c r="A6" t="s">
        <v>4</v>
      </c>
      <c r="N6" t="s">
        <v>158</v>
      </c>
      <c r="O6">
        <v>14</v>
      </c>
    </row>
    <row r="7" spans="1:17" x14ac:dyDescent="0.25">
      <c r="A7" t="s">
        <v>4</v>
      </c>
      <c r="N7" t="s">
        <v>904</v>
      </c>
      <c r="O7">
        <v>14</v>
      </c>
    </row>
    <row r="8" spans="1:17" x14ac:dyDescent="0.25">
      <c r="A8" t="s">
        <v>5</v>
      </c>
      <c r="O8">
        <f>O1-SUM(O2:O7)</f>
        <v>0</v>
      </c>
      <c r="P8">
        <f>O8/2</f>
        <v>0</v>
      </c>
    </row>
    <row r="9" spans="1:17" x14ac:dyDescent="0.25">
      <c r="A9" t="s">
        <v>6</v>
      </c>
    </row>
    <row r="10" spans="1:17" x14ac:dyDescent="0.25">
      <c r="A10" t="s">
        <v>7</v>
      </c>
    </row>
    <row r="11" spans="1:17" x14ac:dyDescent="0.25">
      <c r="A11" t="s">
        <v>8</v>
      </c>
    </row>
    <row r="12" spans="1:17" x14ac:dyDescent="0.25">
      <c r="A12" t="s">
        <v>9</v>
      </c>
    </row>
    <row r="13" spans="1:17" x14ac:dyDescent="0.25">
      <c r="A13" t="s">
        <v>10</v>
      </c>
    </row>
    <row r="14" spans="1:17" x14ac:dyDescent="0.25">
      <c r="A14" t="s">
        <v>11</v>
      </c>
    </row>
    <row r="15" spans="1:17" x14ac:dyDescent="0.25">
      <c r="A15" t="s">
        <v>12</v>
      </c>
    </row>
    <row r="17" spans="1:1" x14ac:dyDescent="0.25">
      <c r="A17" t="s">
        <v>13</v>
      </c>
    </row>
    <row r="18" spans="1:1" x14ac:dyDescent="0.25">
      <c r="A18" t="s">
        <v>14</v>
      </c>
    </row>
    <row r="19" spans="1:1" x14ac:dyDescent="0.25">
      <c r="A19" t="s">
        <v>15</v>
      </c>
    </row>
    <row r="20" spans="1:1" x14ac:dyDescent="0.25">
      <c r="A20" t="s">
        <v>13</v>
      </c>
    </row>
    <row r="21" spans="1:1" x14ac:dyDescent="0.25">
      <c r="A21" t="s">
        <v>16</v>
      </c>
    </row>
    <row r="22" spans="1:1" x14ac:dyDescent="0.25">
      <c r="A22" t="s">
        <v>17</v>
      </c>
    </row>
    <row r="23" spans="1:1" x14ac:dyDescent="0.25">
      <c r="A23" t="s">
        <v>18</v>
      </c>
    </row>
    <row r="24" spans="1:1" x14ac:dyDescent="0.25">
      <c r="A24" t="s">
        <v>19</v>
      </c>
    </row>
    <row r="26" spans="1:1" x14ac:dyDescent="0.25">
      <c r="A26" t="s">
        <v>20</v>
      </c>
    </row>
    <row r="27" spans="1:1" x14ac:dyDescent="0.25">
      <c r="A27" t="s">
        <v>21</v>
      </c>
    </row>
    <row r="28" spans="1:1" x14ac:dyDescent="0.25">
      <c r="A28" t="s">
        <v>22</v>
      </c>
    </row>
    <row r="29" spans="1:1" x14ac:dyDescent="0.25">
      <c r="A29" t="s">
        <v>23</v>
      </c>
    </row>
    <row r="30" spans="1:1" x14ac:dyDescent="0.25">
      <c r="A30" t="s">
        <v>24</v>
      </c>
    </row>
    <row r="31" spans="1:1" x14ac:dyDescent="0.25">
      <c r="A31" t="s">
        <v>25</v>
      </c>
    </row>
    <row r="33" spans="1:1" x14ac:dyDescent="0.25">
      <c r="A33" t="s">
        <v>26</v>
      </c>
    </row>
    <row r="34" spans="1:1" x14ac:dyDescent="0.25">
      <c r="A34" t="s">
        <v>27</v>
      </c>
    </row>
    <row r="35" spans="1:1" x14ac:dyDescent="0.25">
      <c r="A35" t="s">
        <v>28</v>
      </c>
    </row>
    <row r="36" spans="1:1" x14ac:dyDescent="0.25">
      <c r="A36" t="s">
        <v>29</v>
      </c>
    </row>
    <row r="37" spans="1:1" x14ac:dyDescent="0.25">
      <c r="A37" t="s">
        <v>30</v>
      </c>
    </row>
    <row r="38" spans="1:1" x14ac:dyDescent="0.25">
      <c r="A38" t="s">
        <v>31</v>
      </c>
    </row>
    <row r="40" spans="1:1" x14ac:dyDescent="0.25">
      <c r="A40" t="s">
        <v>32</v>
      </c>
    </row>
    <row r="41" spans="1:1" x14ac:dyDescent="0.25">
      <c r="A41" t="s">
        <v>33</v>
      </c>
    </row>
    <row r="42" spans="1:1" x14ac:dyDescent="0.25">
      <c r="A42" t="s">
        <v>34</v>
      </c>
    </row>
    <row r="43" spans="1:1" x14ac:dyDescent="0.25">
      <c r="A43" t="s">
        <v>35</v>
      </c>
    </row>
    <row r="44" spans="1:1" x14ac:dyDescent="0.25">
      <c r="A44" t="s">
        <v>36</v>
      </c>
    </row>
    <row r="46" spans="1:1" x14ac:dyDescent="0.25">
      <c r="A46" t="s">
        <v>37</v>
      </c>
    </row>
    <row r="47" spans="1:1" x14ac:dyDescent="0.25">
      <c r="A47" t="s">
        <v>38</v>
      </c>
    </row>
    <row r="48" spans="1:1" x14ac:dyDescent="0.25">
      <c r="A48" t="s">
        <v>39</v>
      </c>
    </row>
    <row r="49" spans="1:17" x14ac:dyDescent="0.25">
      <c r="A49" t="s">
        <v>40</v>
      </c>
    </row>
    <row r="50" spans="1:17" x14ac:dyDescent="0.25">
      <c r="A50" t="s">
        <v>41</v>
      </c>
    </row>
    <row r="51" spans="1:17" x14ac:dyDescent="0.25">
      <c r="A51" t="s">
        <v>42</v>
      </c>
    </row>
    <row r="52" spans="1:17" x14ac:dyDescent="0.25">
      <c r="A52" t="s">
        <v>43</v>
      </c>
    </row>
    <row r="53" spans="1:17" x14ac:dyDescent="0.25">
      <c r="A53" t="s">
        <v>44</v>
      </c>
    </row>
    <row r="54" spans="1:17" x14ac:dyDescent="0.25">
      <c r="A54" t="s">
        <v>45</v>
      </c>
    </row>
    <row r="55" spans="1:17" x14ac:dyDescent="0.25">
      <c r="A55" t="s">
        <v>46</v>
      </c>
    </row>
    <row r="56" spans="1:17" x14ac:dyDescent="0.25">
      <c r="A56" t="s">
        <v>106</v>
      </c>
    </row>
    <row r="57" spans="1:17" x14ac:dyDescent="0.25">
      <c r="A57" t="s">
        <v>47</v>
      </c>
    </row>
    <row r="58" spans="1:17" x14ac:dyDescent="0.25">
      <c r="A58" t="s">
        <v>48</v>
      </c>
    </row>
    <row r="59" spans="1:17" x14ac:dyDescent="0.25">
      <c r="A59" t="s">
        <v>49</v>
      </c>
    </row>
    <row r="60" spans="1:17" x14ac:dyDescent="0.25">
      <c r="A60" t="s">
        <v>50</v>
      </c>
    </row>
    <row r="61" spans="1:17" x14ac:dyDescent="0.25">
      <c r="A61" t="s">
        <v>51</v>
      </c>
      <c r="B61" t="s">
        <v>52</v>
      </c>
      <c r="C61" t="s">
        <v>53</v>
      </c>
      <c r="D61" t="s">
        <v>54</v>
      </c>
      <c r="E61" t="s">
        <v>55</v>
      </c>
      <c r="F61" t="s">
        <v>56</v>
      </c>
      <c r="G61" t="s">
        <v>126</v>
      </c>
      <c r="H61" t="s">
        <v>127</v>
      </c>
      <c r="I61" t="s">
        <v>128</v>
      </c>
      <c r="J61" t="s">
        <v>113</v>
      </c>
      <c r="K61" t="s">
        <v>129</v>
      </c>
      <c r="L61" t="s">
        <v>130</v>
      </c>
      <c r="M61" t="s">
        <v>131</v>
      </c>
      <c r="N61" t="s">
        <v>132</v>
      </c>
      <c r="O61" t="s">
        <v>133</v>
      </c>
      <c r="P61" t="s">
        <v>63</v>
      </c>
      <c r="Q61" t="s">
        <v>64</v>
      </c>
    </row>
    <row r="62" spans="1:17" x14ac:dyDescent="0.25">
      <c r="A62">
        <v>1</v>
      </c>
      <c r="B62">
        <v>97</v>
      </c>
      <c r="C62" t="s">
        <v>902</v>
      </c>
      <c r="D62" t="s">
        <v>160</v>
      </c>
      <c r="E62" t="s">
        <v>787</v>
      </c>
      <c r="F62">
        <v>16</v>
      </c>
      <c r="G62">
        <v>62</v>
      </c>
      <c r="H62" s="1">
        <v>36</v>
      </c>
      <c r="I62">
        <v>81</v>
      </c>
      <c r="J62" s="1">
        <v>14</v>
      </c>
      <c r="K62">
        <v>12</v>
      </c>
      <c r="L62">
        <v>1</v>
      </c>
      <c r="M62">
        <v>2</v>
      </c>
      <c r="N62">
        <v>1</v>
      </c>
      <c r="O62">
        <v>379</v>
      </c>
      <c r="P62">
        <v>5.9</v>
      </c>
      <c r="Q62">
        <v>94</v>
      </c>
    </row>
    <row r="63" spans="1:17" x14ac:dyDescent="0.25">
      <c r="A63" t="s">
        <v>65</v>
      </c>
      <c r="J63" s="1"/>
    </row>
    <row r="64" spans="1:17" x14ac:dyDescent="0.25">
      <c r="A64" t="s">
        <v>66</v>
      </c>
    </row>
    <row r="65" spans="1:1" x14ac:dyDescent="0.25">
      <c r="A65" t="s">
        <v>67</v>
      </c>
    </row>
    <row r="66" spans="1:1" x14ac:dyDescent="0.25">
      <c r="A66" t="s">
        <v>68</v>
      </c>
    </row>
    <row r="67" spans="1:1" x14ac:dyDescent="0.25">
      <c r="A67" t="s">
        <v>9</v>
      </c>
    </row>
    <row r="68" spans="1:1" x14ac:dyDescent="0.25">
      <c r="A68" t="s">
        <v>13</v>
      </c>
    </row>
    <row r="69" spans="1:1" x14ac:dyDescent="0.25">
      <c r="A69" t="s">
        <v>16</v>
      </c>
    </row>
    <row r="70" spans="1:1" x14ac:dyDescent="0.25">
      <c r="A70" t="s">
        <v>18</v>
      </c>
    </row>
    <row r="71" spans="1:1" x14ac:dyDescent="0.25">
      <c r="A71" t="s">
        <v>12</v>
      </c>
    </row>
    <row r="72" spans="1:1" x14ac:dyDescent="0.25">
      <c r="A72" t="s">
        <v>69</v>
      </c>
    </row>
    <row r="73" spans="1:1" x14ac:dyDescent="0.25">
      <c r="A73" t="s">
        <v>70</v>
      </c>
    </row>
    <row r="74" spans="1:1" x14ac:dyDescent="0.25">
      <c r="A74" t="s">
        <v>71</v>
      </c>
    </row>
    <row r="75" spans="1:1" x14ac:dyDescent="0.25">
      <c r="A75" t="s">
        <v>72</v>
      </c>
    </row>
    <row r="76" spans="1:1" x14ac:dyDescent="0.25">
      <c r="A76" t="s">
        <v>21</v>
      </c>
    </row>
    <row r="77" spans="1:1" x14ac:dyDescent="0.25">
      <c r="A77" t="s">
        <v>73</v>
      </c>
    </row>
    <row r="78" spans="1:1" x14ac:dyDescent="0.25">
      <c r="A78" t="s">
        <v>74</v>
      </c>
    </row>
    <row r="79" spans="1:1" x14ac:dyDescent="0.25">
      <c r="A79" t="s">
        <v>75</v>
      </c>
    </row>
    <row r="80" spans="1:1" x14ac:dyDescent="0.25">
      <c r="A80" t="s">
        <v>76</v>
      </c>
    </row>
    <row r="81" spans="1:1" x14ac:dyDescent="0.25">
      <c r="A81" t="s">
        <v>77</v>
      </c>
    </row>
    <row r="82" spans="1:1" x14ac:dyDescent="0.25">
      <c r="A82" t="s">
        <v>78</v>
      </c>
    </row>
    <row r="83" spans="1:1" x14ac:dyDescent="0.25">
      <c r="A83" t="s">
        <v>79</v>
      </c>
    </row>
    <row r="84" spans="1:1" x14ac:dyDescent="0.25">
      <c r="A84" t="s">
        <v>38</v>
      </c>
    </row>
    <row r="85" spans="1:1" x14ac:dyDescent="0.25">
      <c r="A85" t="s">
        <v>40</v>
      </c>
    </row>
    <row r="86" spans="1:1" x14ac:dyDescent="0.25">
      <c r="A86" t="s">
        <v>42</v>
      </c>
    </row>
    <row r="87" spans="1:1" x14ac:dyDescent="0.25">
      <c r="A87" t="s">
        <v>44</v>
      </c>
    </row>
    <row r="88" spans="1:1" x14ac:dyDescent="0.25">
      <c r="A88" t="s">
        <v>45</v>
      </c>
    </row>
    <row r="89" spans="1:1" x14ac:dyDescent="0.25">
      <c r="A89" t="s">
        <v>80</v>
      </c>
    </row>
    <row r="90" spans="1:1" x14ac:dyDescent="0.25">
      <c r="A90" t="s">
        <v>81</v>
      </c>
    </row>
    <row r="91" spans="1:1" x14ac:dyDescent="0.25">
      <c r="A91" t="s">
        <v>5</v>
      </c>
    </row>
    <row r="92" spans="1:1" x14ac:dyDescent="0.25">
      <c r="A92" t="s">
        <v>6</v>
      </c>
    </row>
    <row r="93" spans="1:1" x14ac:dyDescent="0.25">
      <c r="A93" t="s">
        <v>82</v>
      </c>
    </row>
    <row r="94" spans="1:1" x14ac:dyDescent="0.25">
      <c r="A94" t="s">
        <v>83</v>
      </c>
    </row>
    <row r="95" spans="1:1" x14ac:dyDescent="0.25">
      <c r="A95" t="s">
        <v>84</v>
      </c>
    </row>
    <row r="97" spans="1:1" x14ac:dyDescent="0.25">
      <c r="A97" t="s">
        <v>85</v>
      </c>
    </row>
    <row r="98" spans="1:1" x14ac:dyDescent="0.25">
      <c r="A98" t="s">
        <v>86</v>
      </c>
    </row>
    <row r="99" spans="1:1" x14ac:dyDescent="0.25">
      <c r="A99" t="s">
        <v>87</v>
      </c>
    </row>
    <row r="100" spans="1:1" x14ac:dyDescent="0.25">
      <c r="A100" t="s">
        <v>88</v>
      </c>
    </row>
    <row r="101" spans="1:1" x14ac:dyDescent="0.25">
      <c r="A101" t="s">
        <v>89</v>
      </c>
    </row>
    <row r="102" spans="1:1" x14ac:dyDescent="0.25">
      <c r="A102" t="s">
        <v>90</v>
      </c>
    </row>
    <row r="103" spans="1:1" x14ac:dyDescent="0.25">
      <c r="A103" t="s">
        <v>91</v>
      </c>
    </row>
    <row r="104" spans="1:1" x14ac:dyDescent="0.25">
      <c r="A104" t="s">
        <v>86</v>
      </c>
    </row>
    <row r="105" spans="1:1" x14ac:dyDescent="0.25">
      <c r="A105" t="s">
        <v>86</v>
      </c>
    </row>
    <row r="106" spans="1:1" x14ac:dyDescent="0.25">
      <c r="A106" t="s">
        <v>92</v>
      </c>
    </row>
    <row r="107" spans="1:1" x14ac:dyDescent="0.25">
      <c r="A107" t="s">
        <v>93</v>
      </c>
    </row>
    <row r="108" spans="1:1" x14ac:dyDescent="0.25">
      <c r="A108" t="s">
        <v>94</v>
      </c>
    </row>
    <row r="109" spans="1:1" x14ac:dyDescent="0.25">
      <c r="A109" t="s">
        <v>95</v>
      </c>
    </row>
    <row r="110" spans="1:1" x14ac:dyDescent="0.25">
      <c r="A110" t="s">
        <v>91</v>
      </c>
    </row>
    <row r="111" spans="1:1" x14ac:dyDescent="0.25">
      <c r="A111" t="s">
        <v>86</v>
      </c>
    </row>
    <row r="112" spans="1:1" x14ac:dyDescent="0.25">
      <c r="A112" t="s">
        <v>96</v>
      </c>
    </row>
    <row r="113" spans="1:1" x14ac:dyDescent="0.25">
      <c r="A113" t="s">
        <v>97</v>
      </c>
    </row>
    <row r="114" spans="1:1" x14ac:dyDescent="0.25">
      <c r="A114" t="s">
        <v>98</v>
      </c>
    </row>
    <row r="115" spans="1:1" x14ac:dyDescent="0.25">
      <c r="A115" t="s">
        <v>99</v>
      </c>
    </row>
    <row r="117" spans="1:1" x14ac:dyDescent="0.25">
      <c r="A117" t="s">
        <v>96</v>
      </c>
    </row>
    <row r="118" spans="1:1" x14ac:dyDescent="0.25">
      <c r="A118" t="s">
        <v>100</v>
      </c>
    </row>
    <row r="119" spans="1:1" x14ac:dyDescent="0.25">
      <c r="A119" t="s">
        <v>101</v>
      </c>
    </row>
    <row r="120" spans="1:1" x14ac:dyDescent="0.25">
      <c r="A120" t="s">
        <v>102</v>
      </c>
    </row>
    <row r="121" spans="1:1" x14ac:dyDescent="0.25">
      <c r="A121" t="s">
        <v>96</v>
      </c>
    </row>
    <row r="122" spans="1:1" x14ac:dyDescent="0.25">
      <c r="A122" t="s">
        <v>103</v>
      </c>
    </row>
    <row r="123" spans="1:1" x14ac:dyDescent="0.25">
      <c r="A123" t="s">
        <v>104</v>
      </c>
    </row>
    <row r="124" spans="1:1" x14ac:dyDescent="0.25">
      <c r="A124" t="s">
        <v>105</v>
      </c>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4"/>
  <sheetViews>
    <sheetView workbookViewId="0">
      <selection activeCell="C17" sqref="C17"/>
    </sheetView>
  </sheetViews>
  <sheetFormatPr defaultRowHeight="15" x14ac:dyDescent="0.25"/>
  <sheetData>
    <row r="1" spans="1:24" x14ac:dyDescent="0.25">
      <c r="A1" t="s">
        <v>51</v>
      </c>
      <c r="B1" t="s">
        <v>52</v>
      </c>
      <c r="C1" t="s">
        <v>53</v>
      </c>
      <c r="D1" t="s">
        <v>54</v>
      </c>
      <c r="E1" t="s">
        <v>55</v>
      </c>
      <c r="F1" t="s">
        <v>56</v>
      </c>
      <c r="G1" t="s">
        <v>108</v>
      </c>
      <c r="H1" t="s">
        <v>109</v>
      </c>
      <c r="I1" t="s">
        <v>59</v>
      </c>
      <c r="J1" t="s">
        <v>110</v>
      </c>
      <c r="K1" t="s">
        <v>111</v>
      </c>
      <c r="L1" t="s">
        <v>112</v>
      </c>
      <c r="M1" t="s">
        <v>113</v>
      </c>
      <c r="N1" t="s">
        <v>114</v>
      </c>
      <c r="O1" t="s">
        <v>109</v>
      </c>
      <c r="P1" t="s">
        <v>110</v>
      </c>
      <c r="Q1" t="s">
        <v>111</v>
      </c>
      <c r="R1" t="s">
        <v>112</v>
      </c>
      <c r="S1" t="s">
        <v>63</v>
      </c>
      <c r="T1" t="s">
        <v>64</v>
      </c>
      <c r="U1" t="s">
        <v>903</v>
      </c>
      <c r="V1" t="s">
        <v>905</v>
      </c>
      <c r="W1">
        <v>20</v>
      </c>
      <c r="X1">
        <v>321.83999999999997</v>
      </c>
    </row>
    <row r="2" spans="1:24" x14ac:dyDescent="0.25">
      <c r="A2" s="11">
        <f t="shared" ref="A2:A33" si="0">_xlfn.RANK.AVG(U2,$U$2:$U$104,0)</f>
        <v>1</v>
      </c>
      <c r="B2" s="11">
        <v>13320</v>
      </c>
      <c r="C2" s="11" t="s">
        <v>175</v>
      </c>
      <c r="D2" s="11" t="s">
        <v>116</v>
      </c>
      <c r="E2" s="11" t="s">
        <v>176</v>
      </c>
      <c r="F2" s="11">
        <v>16</v>
      </c>
      <c r="G2" s="11">
        <v>305</v>
      </c>
      <c r="H2" s="11">
        <v>505</v>
      </c>
      <c r="I2" s="11">
        <v>60.4</v>
      </c>
      <c r="J2" s="11">
        <v>3855</v>
      </c>
      <c r="K2" s="11">
        <v>7.6</v>
      </c>
      <c r="L2" s="11">
        <v>27</v>
      </c>
      <c r="M2" s="11">
        <v>12</v>
      </c>
      <c r="N2" s="11">
        <v>92.1</v>
      </c>
      <c r="O2" s="11">
        <v>120</v>
      </c>
      <c r="P2" s="11">
        <v>601</v>
      </c>
      <c r="Q2" s="11">
        <v>5</v>
      </c>
      <c r="R2" s="11">
        <v>7</v>
      </c>
      <c r="S2" s="11">
        <v>21.3</v>
      </c>
      <c r="T2" s="11">
        <v>340.3</v>
      </c>
      <c r="U2" s="11">
        <v>401.3</v>
      </c>
      <c r="V2" s="11">
        <f>U2-$X$1</f>
        <v>79.460000000000036</v>
      </c>
    </row>
    <row r="3" spans="1:24" x14ac:dyDescent="0.25">
      <c r="A3" s="11">
        <f t="shared" si="0"/>
        <v>2</v>
      </c>
      <c r="B3" s="11">
        <v>2593</v>
      </c>
      <c r="C3" s="11" t="s">
        <v>396</v>
      </c>
      <c r="D3" s="11" t="s">
        <v>116</v>
      </c>
      <c r="E3" s="11" t="s">
        <v>397</v>
      </c>
      <c r="F3" s="11">
        <v>16</v>
      </c>
      <c r="G3" s="11">
        <v>356</v>
      </c>
      <c r="H3" s="11">
        <v>551</v>
      </c>
      <c r="I3" s="11">
        <v>64.599999999999994</v>
      </c>
      <c r="J3" s="11">
        <v>4294</v>
      </c>
      <c r="K3" s="11">
        <v>7.8</v>
      </c>
      <c r="L3" s="11">
        <v>34</v>
      </c>
      <c r="M3" s="11">
        <v>8</v>
      </c>
      <c r="N3" s="11">
        <v>102.9</v>
      </c>
      <c r="O3" s="11">
        <v>43</v>
      </c>
      <c r="P3" s="11">
        <v>260</v>
      </c>
      <c r="Q3" s="11">
        <v>6</v>
      </c>
      <c r="R3" s="11">
        <v>2</v>
      </c>
      <c r="S3" s="11">
        <v>20.6</v>
      </c>
      <c r="T3" s="11">
        <v>329.76</v>
      </c>
      <c r="U3" s="11">
        <v>400.96</v>
      </c>
      <c r="V3" s="11">
        <f t="shared" ref="V3:V66" si="1">U3-$X$1</f>
        <v>79.12</v>
      </c>
    </row>
    <row r="4" spans="1:24" x14ac:dyDescent="0.25">
      <c r="A4" s="11">
        <f t="shared" si="0"/>
        <v>3</v>
      </c>
      <c r="B4" s="11">
        <v>7242</v>
      </c>
      <c r="C4" s="11" t="s">
        <v>630</v>
      </c>
      <c r="D4" s="11" t="s">
        <v>116</v>
      </c>
      <c r="E4" s="11" t="s">
        <v>631</v>
      </c>
      <c r="F4" s="11">
        <v>16</v>
      </c>
      <c r="G4" s="11">
        <v>430</v>
      </c>
      <c r="H4" s="11">
        <v>644</v>
      </c>
      <c r="I4" s="11">
        <v>66.8</v>
      </c>
      <c r="J4" s="11">
        <v>4852</v>
      </c>
      <c r="K4" s="11">
        <v>7.5</v>
      </c>
      <c r="L4" s="11">
        <v>32</v>
      </c>
      <c r="M4" s="11">
        <v>14</v>
      </c>
      <c r="N4" s="11">
        <v>96.6</v>
      </c>
      <c r="O4" s="11">
        <v>32</v>
      </c>
      <c r="P4" s="11">
        <v>32</v>
      </c>
      <c r="Q4" s="11">
        <v>1</v>
      </c>
      <c r="R4" s="11">
        <v>1</v>
      </c>
      <c r="S4" s="11">
        <v>19</v>
      </c>
      <c r="T4" s="11">
        <v>303.27999999999997</v>
      </c>
      <c r="U4" s="11">
        <v>389.28000000000003</v>
      </c>
      <c r="V4" s="11">
        <f t="shared" si="1"/>
        <v>67.440000000000055</v>
      </c>
    </row>
    <row r="5" spans="1:24" x14ac:dyDescent="0.25">
      <c r="A5" s="11">
        <f t="shared" si="0"/>
        <v>4</v>
      </c>
      <c r="B5" s="11">
        <v>14536</v>
      </c>
      <c r="C5" s="11" t="s">
        <v>771</v>
      </c>
      <c r="D5" s="11" t="s">
        <v>116</v>
      </c>
      <c r="E5" s="11" t="s">
        <v>772</v>
      </c>
      <c r="F5" s="11">
        <v>16</v>
      </c>
      <c r="G5" s="11">
        <v>325</v>
      </c>
      <c r="H5" s="11">
        <v>491</v>
      </c>
      <c r="I5" s="11">
        <v>66.2</v>
      </c>
      <c r="J5" s="11">
        <v>3997</v>
      </c>
      <c r="K5" s="11">
        <v>8.1</v>
      </c>
      <c r="L5" s="11">
        <v>29</v>
      </c>
      <c r="M5" s="11">
        <v>10</v>
      </c>
      <c r="N5" s="11">
        <v>102.4</v>
      </c>
      <c r="O5" s="11">
        <v>112</v>
      </c>
      <c r="P5" s="11">
        <v>561</v>
      </c>
      <c r="Q5" s="11">
        <v>5</v>
      </c>
      <c r="R5" s="11">
        <v>2</v>
      </c>
      <c r="S5" s="11">
        <v>20.2</v>
      </c>
      <c r="T5" s="11">
        <v>323.98</v>
      </c>
      <c r="U5" s="11">
        <v>388.98</v>
      </c>
      <c r="V5" s="11">
        <f t="shared" si="1"/>
        <v>67.140000000000043</v>
      </c>
    </row>
    <row r="6" spans="1:24" x14ac:dyDescent="0.25">
      <c r="A6" s="11">
        <f t="shared" si="0"/>
        <v>5</v>
      </c>
      <c r="B6" s="11">
        <v>14008</v>
      </c>
      <c r="C6" s="11" t="s">
        <v>403</v>
      </c>
      <c r="D6" s="11" t="s">
        <v>116</v>
      </c>
      <c r="E6" s="11" t="s">
        <v>404</v>
      </c>
      <c r="F6" s="11">
        <v>16</v>
      </c>
      <c r="G6" s="11">
        <v>374</v>
      </c>
      <c r="H6" s="11">
        <v>621</v>
      </c>
      <c r="I6" s="11">
        <v>60.2</v>
      </c>
      <c r="J6" s="11">
        <v>4448</v>
      </c>
      <c r="K6" s="11">
        <v>7.2</v>
      </c>
      <c r="L6" s="11">
        <v>32</v>
      </c>
      <c r="M6" s="11">
        <v>17</v>
      </c>
      <c r="N6" s="11">
        <v>87.9</v>
      </c>
      <c r="O6" s="11">
        <v>49</v>
      </c>
      <c r="P6" s="11">
        <v>294</v>
      </c>
      <c r="Q6" s="11">
        <v>6</v>
      </c>
      <c r="R6" s="11">
        <v>2</v>
      </c>
      <c r="S6" s="11">
        <v>19.600000000000001</v>
      </c>
      <c r="T6" s="11">
        <v>313.32</v>
      </c>
      <c r="U6" s="11">
        <v>388.11999999999995</v>
      </c>
      <c r="V6" s="11">
        <f t="shared" si="1"/>
        <v>66.279999999999973</v>
      </c>
    </row>
    <row r="7" spans="1:24" x14ac:dyDescent="0.25">
      <c r="A7" s="11">
        <f t="shared" si="0"/>
        <v>6</v>
      </c>
      <c r="B7" s="11">
        <v>3807</v>
      </c>
      <c r="C7" s="11" t="s">
        <v>647</v>
      </c>
      <c r="D7" s="11" t="s">
        <v>116</v>
      </c>
      <c r="E7" s="11" t="s">
        <v>648</v>
      </c>
      <c r="F7" s="11">
        <v>16</v>
      </c>
      <c r="G7" s="11">
        <v>380</v>
      </c>
      <c r="H7" s="11">
        <v>577</v>
      </c>
      <c r="I7" s="11">
        <v>65.900000000000006</v>
      </c>
      <c r="J7" s="11">
        <v>4600</v>
      </c>
      <c r="K7" s="11">
        <v>8</v>
      </c>
      <c r="L7" s="11">
        <v>29</v>
      </c>
      <c r="M7" s="11">
        <v>13</v>
      </c>
      <c r="N7" s="11">
        <v>97.6</v>
      </c>
      <c r="O7" s="11">
        <v>35</v>
      </c>
      <c r="P7" s="11">
        <v>70</v>
      </c>
      <c r="Q7" s="11">
        <v>2</v>
      </c>
      <c r="R7" s="11">
        <v>1</v>
      </c>
      <c r="S7" s="11">
        <v>17.899999999999999</v>
      </c>
      <c r="T7" s="11">
        <v>287</v>
      </c>
      <c r="U7" s="11">
        <v>363</v>
      </c>
      <c r="V7" s="11">
        <f t="shared" si="1"/>
        <v>41.160000000000025</v>
      </c>
    </row>
    <row r="8" spans="1:24" x14ac:dyDescent="0.25">
      <c r="A8" s="11">
        <f t="shared" si="0"/>
        <v>7</v>
      </c>
      <c r="B8" s="11">
        <v>8244</v>
      </c>
      <c r="C8" s="11" t="s">
        <v>767</v>
      </c>
      <c r="D8" s="11" t="s">
        <v>116</v>
      </c>
      <c r="E8" s="11" t="s">
        <v>768</v>
      </c>
      <c r="F8" s="11">
        <v>16</v>
      </c>
      <c r="G8" s="11">
        <v>403</v>
      </c>
      <c r="H8" s="11">
        <v>608</v>
      </c>
      <c r="I8" s="11">
        <v>66.3</v>
      </c>
      <c r="J8" s="11">
        <v>4554</v>
      </c>
      <c r="K8" s="11">
        <v>7.5</v>
      </c>
      <c r="L8" s="11">
        <v>30</v>
      </c>
      <c r="M8" s="11">
        <v>14</v>
      </c>
      <c r="N8" s="11">
        <v>95.4</v>
      </c>
      <c r="O8" s="11">
        <v>24</v>
      </c>
      <c r="P8" s="11">
        <v>49</v>
      </c>
      <c r="Q8" s="11">
        <v>2</v>
      </c>
      <c r="R8" s="11">
        <v>0</v>
      </c>
      <c r="S8" s="11">
        <v>17.399999999999999</v>
      </c>
      <c r="T8" s="11">
        <v>279.06</v>
      </c>
      <c r="U8" s="11">
        <v>359.65999999999997</v>
      </c>
      <c r="V8" s="11">
        <f t="shared" si="1"/>
        <v>37.819999999999993</v>
      </c>
    </row>
    <row r="9" spans="1:24" x14ac:dyDescent="0.25">
      <c r="A9" s="11">
        <f t="shared" si="0"/>
        <v>8</v>
      </c>
      <c r="B9" s="11">
        <v>4932</v>
      </c>
      <c r="C9" s="11" t="s">
        <v>634</v>
      </c>
      <c r="D9" s="11" t="s">
        <v>116</v>
      </c>
      <c r="E9" s="11" t="s">
        <v>635</v>
      </c>
      <c r="F9" s="11">
        <v>16</v>
      </c>
      <c r="G9" s="11">
        <v>388</v>
      </c>
      <c r="H9" s="11">
        <v>616</v>
      </c>
      <c r="I9" s="11">
        <v>63</v>
      </c>
      <c r="J9" s="11">
        <v>4471</v>
      </c>
      <c r="K9" s="11">
        <v>7.3</v>
      </c>
      <c r="L9" s="11">
        <v>31</v>
      </c>
      <c r="M9" s="11">
        <v>14</v>
      </c>
      <c r="N9" s="11">
        <v>92.1</v>
      </c>
      <c r="O9" s="11">
        <v>16</v>
      </c>
      <c r="P9" s="11">
        <v>48</v>
      </c>
      <c r="Q9" s="11">
        <v>3</v>
      </c>
      <c r="R9" s="11">
        <v>0</v>
      </c>
      <c r="S9" s="11">
        <v>17.5</v>
      </c>
      <c r="T9" s="11">
        <v>279.64</v>
      </c>
      <c r="U9" s="11">
        <v>357.24000000000007</v>
      </c>
      <c r="V9" s="11">
        <f t="shared" si="1"/>
        <v>35.400000000000091</v>
      </c>
    </row>
    <row r="10" spans="1:24" x14ac:dyDescent="0.25">
      <c r="A10" s="11">
        <f t="shared" si="0"/>
        <v>9</v>
      </c>
      <c r="B10" s="11">
        <v>16245</v>
      </c>
      <c r="C10" s="11" t="s">
        <v>407</v>
      </c>
      <c r="D10" s="11" t="s">
        <v>116</v>
      </c>
      <c r="E10" s="11" t="s">
        <v>408</v>
      </c>
      <c r="F10" s="11">
        <v>16</v>
      </c>
      <c r="G10" s="11">
        <v>339</v>
      </c>
      <c r="H10" s="11">
        <v>567</v>
      </c>
      <c r="I10" s="11">
        <v>59.8</v>
      </c>
      <c r="J10" s="11">
        <v>4146</v>
      </c>
      <c r="K10" s="11">
        <v>7.3</v>
      </c>
      <c r="L10" s="11">
        <v>29</v>
      </c>
      <c r="M10" s="11">
        <v>17</v>
      </c>
      <c r="N10" s="11">
        <v>86.9</v>
      </c>
      <c r="O10" s="11">
        <v>54</v>
      </c>
      <c r="P10" s="11">
        <v>322</v>
      </c>
      <c r="Q10" s="11">
        <v>6</v>
      </c>
      <c r="R10" s="11">
        <v>1</v>
      </c>
      <c r="S10" s="11">
        <v>17.899999999999999</v>
      </c>
      <c r="T10" s="11">
        <v>286.04000000000002</v>
      </c>
      <c r="U10" s="11">
        <v>353.84000000000003</v>
      </c>
      <c r="V10" s="11">
        <f t="shared" si="1"/>
        <v>32.000000000000057</v>
      </c>
    </row>
    <row r="11" spans="1:24" x14ac:dyDescent="0.25">
      <c r="A11" s="11">
        <f t="shared" si="0"/>
        <v>10</v>
      </c>
      <c r="B11" s="11">
        <v>2428</v>
      </c>
      <c r="C11" s="11" t="s">
        <v>134</v>
      </c>
      <c r="D11" s="11" t="s">
        <v>116</v>
      </c>
      <c r="E11" s="11" t="s">
        <v>135</v>
      </c>
      <c r="F11" s="11">
        <v>16</v>
      </c>
      <c r="G11" s="11">
        <v>346</v>
      </c>
      <c r="H11" s="11">
        <v>554</v>
      </c>
      <c r="I11" s="11">
        <v>62.5</v>
      </c>
      <c r="J11" s="11">
        <v>4475</v>
      </c>
      <c r="K11" s="11">
        <v>8.1</v>
      </c>
      <c r="L11" s="11">
        <v>31</v>
      </c>
      <c r="M11" s="11">
        <v>14</v>
      </c>
      <c r="N11" s="11">
        <v>95.9</v>
      </c>
      <c r="O11" s="11">
        <v>42</v>
      </c>
      <c r="P11" s="11">
        <v>42</v>
      </c>
      <c r="Q11" s="11">
        <v>1</v>
      </c>
      <c r="R11" s="11">
        <v>0</v>
      </c>
      <c r="S11" s="11">
        <v>17.399999999999999</v>
      </c>
      <c r="T11" s="11">
        <v>279.2</v>
      </c>
      <c r="U11" s="11">
        <v>348.4</v>
      </c>
      <c r="V11" s="11">
        <f t="shared" si="1"/>
        <v>26.560000000000002</v>
      </c>
    </row>
    <row r="12" spans="1:24" x14ac:dyDescent="0.25">
      <c r="A12" s="11">
        <f t="shared" si="0"/>
        <v>11</v>
      </c>
      <c r="B12" s="11">
        <v>14252</v>
      </c>
      <c r="C12" s="11" t="s">
        <v>786</v>
      </c>
      <c r="D12" s="11" t="s">
        <v>116</v>
      </c>
      <c r="E12" s="11" t="s">
        <v>787</v>
      </c>
      <c r="F12" s="11">
        <v>16</v>
      </c>
      <c r="G12" s="11">
        <v>360</v>
      </c>
      <c r="H12" s="11">
        <v>550</v>
      </c>
      <c r="I12" s="11">
        <v>65.5</v>
      </c>
      <c r="J12" s="11">
        <v>4184</v>
      </c>
      <c r="K12" s="11">
        <v>7.6</v>
      </c>
      <c r="L12" s="11">
        <v>27</v>
      </c>
      <c r="M12" s="11">
        <v>15</v>
      </c>
      <c r="N12" s="11">
        <v>93.3</v>
      </c>
      <c r="O12" s="11">
        <v>40</v>
      </c>
      <c r="P12" s="11">
        <v>81</v>
      </c>
      <c r="Q12" s="11">
        <v>2</v>
      </c>
      <c r="R12" s="11">
        <v>3</v>
      </c>
      <c r="S12" s="11">
        <v>17</v>
      </c>
      <c r="T12" s="11">
        <v>271.45999999999998</v>
      </c>
      <c r="U12" s="11">
        <v>343.46000000000004</v>
      </c>
      <c r="V12" s="11">
        <f t="shared" si="1"/>
        <v>21.620000000000061</v>
      </c>
    </row>
    <row r="13" spans="1:24" x14ac:dyDescent="0.25">
      <c r="A13" s="11">
        <f t="shared" si="0"/>
        <v>12</v>
      </c>
      <c r="B13" s="11">
        <v>9038</v>
      </c>
      <c r="C13" s="11" t="s">
        <v>392</v>
      </c>
      <c r="D13" s="11" t="s">
        <v>116</v>
      </c>
      <c r="E13" s="11" t="s">
        <v>393</v>
      </c>
      <c r="F13" s="11">
        <v>16</v>
      </c>
      <c r="G13" s="11">
        <v>378</v>
      </c>
      <c r="H13" s="11">
        <v>585</v>
      </c>
      <c r="I13" s="11">
        <v>64.599999999999994</v>
      </c>
      <c r="J13" s="11">
        <v>4244</v>
      </c>
      <c r="K13" s="11">
        <v>7.3</v>
      </c>
      <c r="L13" s="11">
        <v>26</v>
      </c>
      <c r="M13" s="11">
        <v>13</v>
      </c>
      <c r="N13" s="11">
        <v>91.7</v>
      </c>
      <c r="O13" s="11">
        <v>32</v>
      </c>
      <c r="P13" s="11">
        <v>127</v>
      </c>
      <c r="Q13" s="11">
        <v>4</v>
      </c>
      <c r="R13" s="11">
        <v>1</v>
      </c>
      <c r="S13" s="11">
        <v>16.7</v>
      </c>
      <c r="T13" s="11">
        <v>266.45999999999998</v>
      </c>
      <c r="U13" s="11">
        <v>342.06</v>
      </c>
      <c r="V13" s="11">
        <f t="shared" si="1"/>
        <v>20.220000000000027</v>
      </c>
    </row>
    <row r="14" spans="1:24" x14ac:dyDescent="0.25">
      <c r="A14">
        <f t="shared" si="0"/>
        <v>13</v>
      </c>
      <c r="B14">
        <v>13799</v>
      </c>
      <c r="C14" t="s">
        <v>420</v>
      </c>
      <c r="D14" t="s">
        <v>116</v>
      </c>
      <c r="E14" t="s">
        <v>421</v>
      </c>
      <c r="F14">
        <v>16</v>
      </c>
      <c r="G14">
        <v>359</v>
      </c>
      <c r="H14">
        <v>574</v>
      </c>
      <c r="I14">
        <v>62.5</v>
      </c>
      <c r="J14">
        <v>4115</v>
      </c>
      <c r="K14">
        <v>7.2</v>
      </c>
      <c r="L14">
        <v>25</v>
      </c>
      <c r="M14">
        <v>12</v>
      </c>
      <c r="N14">
        <v>89.9</v>
      </c>
      <c r="O14">
        <v>55</v>
      </c>
      <c r="P14">
        <v>220</v>
      </c>
      <c r="Q14">
        <v>4</v>
      </c>
      <c r="R14">
        <v>1</v>
      </c>
      <c r="S14">
        <v>16.8</v>
      </c>
      <c r="T14">
        <v>268.60000000000002</v>
      </c>
      <c r="U14">
        <v>340.40000000000003</v>
      </c>
      <c r="V14">
        <f t="shared" si="1"/>
        <v>18.560000000000059</v>
      </c>
    </row>
    <row r="15" spans="1:24" x14ac:dyDescent="0.25">
      <c r="A15" s="11">
        <f t="shared" si="0"/>
        <v>14</v>
      </c>
      <c r="B15" s="11">
        <v>16311</v>
      </c>
      <c r="C15" s="11" t="s">
        <v>643</v>
      </c>
      <c r="D15" s="11" t="s">
        <v>116</v>
      </c>
      <c r="E15" s="11" t="s">
        <v>644</v>
      </c>
      <c r="F15" s="11">
        <v>16</v>
      </c>
      <c r="G15" s="11">
        <v>358</v>
      </c>
      <c r="H15" s="11">
        <v>578</v>
      </c>
      <c r="I15" s="11">
        <v>61.9</v>
      </c>
      <c r="J15" s="11">
        <v>4084</v>
      </c>
      <c r="K15" s="11">
        <v>7.1</v>
      </c>
      <c r="L15" s="11">
        <v>28</v>
      </c>
      <c r="M15" s="11">
        <v>13</v>
      </c>
      <c r="N15" s="11">
        <v>89.9</v>
      </c>
      <c r="O15" s="11">
        <v>30</v>
      </c>
      <c r="P15" s="11">
        <v>118</v>
      </c>
      <c r="Q15" s="11">
        <v>3.9</v>
      </c>
      <c r="R15" s="11">
        <v>1</v>
      </c>
      <c r="S15" s="11">
        <v>16.7</v>
      </c>
      <c r="T15" s="11">
        <v>267.16000000000003</v>
      </c>
      <c r="U15" s="11">
        <v>338.76000000000005</v>
      </c>
      <c r="V15" s="11">
        <f t="shared" si="1"/>
        <v>16.920000000000073</v>
      </c>
    </row>
    <row r="16" spans="1:24" x14ac:dyDescent="0.25">
      <c r="A16" s="11">
        <f t="shared" si="0"/>
        <v>15</v>
      </c>
      <c r="B16" s="11">
        <v>732</v>
      </c>
      <c r="C16" s="11" t="s">
        <v>161</v>
      </c>
      <c r="D16" s="11" t="s">
        <v>116</v>
      </c>
      <c r="E16" s="11" t="s">
        <v>162</v>
      </c>
      <c r="F16" s="11">
        <v>16</v>
      </c>
      <c r="G16" s="11">
        <v>395</v>
      </c>
      <c r="H16" s="11">
        <v>594</v>
      </c>
      <c r="I16" s="11">
        <v>66.5</v>
      </c>
      <c r="J16" s="11">
        <v>4427</v>
      </c>
      <c r="K16" s="11">
        <v>7.5</v>
      </c>
      <c r="L16" s="11">
        <v>25</v>
      </c>
      <c r="M16" s="11">
        <v>14</v>
      </c>
      <c r="N16" s="11">
        <v>92.8</v>
      </c>
      <c r="O16" s="11">
        <v>42</v>
      </c>
      <c r="P16" s="11">
        <v>83</v>
      </c>
      <c r="Q16" s="11">
        <v>2</v>
      </c>
      <c r="R16" s="11">
        <v>0</v>
      </c>
      <c r="S16" s="11">
        <v>16.100000000000001</v>
      </c>
      <c r="T16" s="11">
        <v>257.38</v>
      </c>
      <c r="U16" s="11">
        <v>336.38000000000005</v>
      </c>
      <c r="V16" s="11">
        <f t="shared" si="1"/>
        <v>14.540000000000077</v>
      </c>
    </row>
    <row r="17" spans="1:22" x14ac:dyDescent="0.25">
      <c r="A17" s="11">
        <f t="shared" si="0"/>
        <v>16</v>
      </c>
      <c r="B17" s="11">
        <v>16762</v>
      </c>
      <c r="C17" s="11" t="s">
        <v>778</v>
      </c>
      <c r="D17" s="11" t="s">
        <v>116</v>
      </c>
      <c r="E17" s="11" t="s">
        <v>779</v>
      </c>
      <c r="F17" s="11">
        <v>16</v>
      </c>
      <c r="G17" s="11">
        <v>325</v>
      </c>
      <c r="H17" s="11">
        <v>539</v>
      </c>
      <c r="I17" s="11">
        <v>60.3</v>
      </c>
      <c r="J17" s="11">
        <v>4051</v>
      </c>
      <c r="K17" s="11">
        <v>7.5</v>
      </c>
      <c r="L17" s="11">
        <v>25</v>
      </c>
      <c r="M17" s="11">
        <v>15</v>
      </c>
      <c r="N17" s="11">
        <v>87.5</v>
      </c>
      <c r="O17" s="11">
        <v>52</v>
      </c>
      <c r="P17" s="11">
        <v>209</v>
      </c>
      <c r="Q17" s="11">
        <v>4</v>
      </c>
      <c r="R17" s="11">
        <v>3</v>
      </c>
      <c r="S17" s="11">
        <v>16.899999999999999</v>
      </c>
      <c r="T17" s="11">
        <v>270.94</v>
      </c>
      <c r="U17" s="11">
        <v>335.93999999999994</v>
      </c>
      <c r="V17" s="11">
        <f t="shared" si="1"/>
        <v>14.099999999999966</v>
      </c>
    </row>
    <row r="18" spans="1:22" x14ac:dyDescent="0.25">
      <c r="A18">
        <f t="shared" si="0"/>
        <v>17</v>
      </c>
      <c r="B18">
        <v>611</v>
      </c>
      <c r="C18" t="s">
        <v>166</v>
      </c>
      <c r="D18" t="s">
        <v>116</v>
      </c>
      <c r="E18" t="s">
        <v>167</v>
      </c>
      <c r="F18">
        <v>16</v>
      </c>
      <c r="G18">
        <v>371</v>
      </c>
      <c r="H18">
        <v>601</v>
      </c>
      <c r="I18">
        <v>61.7</v>
      </c>
      <c r="J18">
        <v>4172</v>
      </c>
      <c r="K18">
        <v>6.9</v>
      </c>
      <c r="L18">
        <v>25</v>
      </c>
      <c r="M18">
        <v>15</v>
      </c>
      <c r="N18">
        <v>85.9</v>
      </c>
      <c r="O18">
        <v>32</v>
      </c>
      <c r="P18">
        <v>63</v>
      </c>
      <c r="Q18">
        <v>2</v>
      </c>
      <c r="R18">
        <v>2</v>
      </c>
      <c r="S18">
        <v>15.9</v>
      </c>
      <c r="T18">
        <v>255.18</v>
      </c>
      <c r="U18">
        <v>329.38</v>
      </c>
      <c r="V18">
        <f t="shared" si="1"/>
        <v>7.5400000000000205</v>
      </c>
    </row>
    <row r="19" spans="1:22" x14ac:dyDescent="0.25">
      <c r="A19">
        <f t="shared" si="0"/>
        <v>18</v>
      </c>
      <c r="B19">
        <v>8283</v>
      </c>
      <c r="C19" t="s">
        <v>638</v>
      </c>
      <c r="D19" t="s">
        <v>116</v>
      </c>
      <c r="E19" t="s">
        <v>639</v>
      </c>
      <c r="F19">
        <v>16</v>
      </c>
      <c r="G19">
        <v>327</v>
      </c>
      <c r="H19">
        <v>547</v>
      </c>
      <c r="I19">
        <v>59.8</v>
      </c>
      <c r="J19">
        <v>3798</v>
      </c>
      <c r="K19">
        <v>6.9</v>
      </c>
      <c r="L19">
        <v>26</v>
      </c>
      <c r="M19">
        <v>15</v>
      </c>
      <c r="N19">
        <v>85.3</v>
      </c>
      <c r="O19">
        <v>61</v>
      </c>
      <c r="P19">
        <v>245</v>
      </c>
      <c r="Q19">
        <v>4</v>
      </c>
      <c r="R19">
        <v>2</v>
      </c>
      <c r="S19">
        <v>16.399999999999999</v>
      </c>
      <c r="T19">
        <v>262.42</v>
      </c>
      <c r="U19">
        <v>327.82</v>
      </c>
      <c r="V19">
        <f t="shared" si="1"/>
        <v>5.9800000000000182</v>
      </c>
    </row>
    <row r="20" spans="1:22" x14ac:dyDescent="0.25">
      <c r="A20">
        <f t="shared" si="0"/>
        <v>19</v>
      </c>
      <c r="B20">
        <v>12841</v>
      </c>
      <c r="C20" t="s">
        <v>278</v>
      </c>
      <c r="D20" t="s">
        <v>116</v>
      </c>
      <c r="E20" t="s">
        <v>279</v>
      </c>
      <c r="F20">
        <v>16</v>
      </c>
      <c r="G20">
        <v>321</v>
      </c>
      <c r="H20">
        <v>500</v>
      </c>
      <c r="I20">
        <v>64.2</v>
      </c>
      <c r="J20">
        <v>3886</v>
      </c>
      <c r="K20">
        <v>7.8</v>
      </c>
      <c r="L20">
        <v>26</v>
      </c>
      <c r="M20">
        <v>13</v>
      </c>
      <c r="N20">
        <v>94.5</v>
      </c>
      <c r="O20">
        <v>88</v>
      </c>
      <c r="P20">
        <v>176</v>
      </c>
      <c r="Q20">
        <v>2</v>
      </c>
      <c r="R20">
        <v>2</v>
      </c>
      <c r="S20">
        <v>16.399999999999999</v>
      </c>
      <c r="T20">
        <v>263.04000000000002</v>
      </c>
      <c r="U20">
        <v>327.24</v>
      </c>
      <c r="V20">
        <f t="shared" si="1"/>
        <v>5.4000000000000341</v>
      </c>
    </row>
    <row r="21" spans="1:22" x14ac:dyDescent="0.25">
      <c r="A21">
        <f t="shared" si="0"/>
        <v>20</v>
      </c>
      <c r="B21">
        <v>6739</v>
      </c>
      <c r="C21" t="s">
        <v>410</v>
      </c>
      <c r="D21" t="s">
        <v>116</v>
      </c>
      <c r="E21" t="s">
        <v>411</v>
      </c>
      <c r="F21">
        <v>16</v>
      </c>
      <c r="G21">
        <v>313</v>
      </c>
      <c r="H21">
        <v>483</v>
      </c>
      <c r="I21">
        <v>64.8</v>
      </c>
      <c r="J21">
        <v>3521</v>
      </c>
      <c r="K21">
        <v>7.3</v>
      </c>
      <c r="L21">
        <v>22</v>
      </c>
      <c r="M21">
        <v>8</v>
      </c>
      <c r="N21">
        <v>94.7</v>
      </c>
      <c r="O21">
        <v>67</v>
      </c>
      <c r="P21">
        <v>404</v>
      </c>
      <c r="Q21">
        <v>6</v>
      </c>
      <c r="R21">
        <v>1</v>
      </c>
      <c r="S21">
        <v>16.2</v>
      </c>
      <c r="T21">
        <v>259.24</v>
      </c>
      <c r="U21">
        <v>321.83999999999997</v>
      </c>
      <c r="V21">
        <f t="shared" si="1"/>
        <v>0</v>
      </c>
    </row>
    <row r="22" spans="1:22" x14ac:dyDescent="0.25">
      <c r="A22" s="11">
        <f t="shared" si="0"/>
        <v>21</v>
      </c>
      <c r="B22" s="11">
        <v>12831</v>
      </c>
      <c r="C22" s="11" t="s">
        <v>171</v>
      </c>
      <c r="D22" s="11" t="s">
        <v>116</v>
      </c>
      <c r="E22" s="11" t="s">
        <v>172</v>
      </c>
      <c r="F22" s="11">
        <v>16</v>
      </c>
      <c r="G22" s="11">
        <v>275</v>
      </c>
      <c r="H22" s="11">
        <v>448</v>
      </c>
      <c r="I22" s="11">
        <v>61.4</v>
      </c>
      <c r="J22" s="11">
        <v>3318</v>
      </c>
      <c r="K22" s="11">
        <v>7.4</v>
      </c>
      <c r="L22" s="11">
        <v>21</v>
      </c>
      <c r="M22" s="11">
        <v>10</v>
      </c>
      <c r="N22" s="11">
        <v>90.4</v>
      </c>
      <c r="O22" s="11">
        <v>86</v>
      </c>
      <c r="P22" s="11">
        <v>515</v>
      </c>
      <c r="Q22" s="11">
        <v>6</v>
      </c>
      <c r="R22" s="11">
        <v>3</v>
      </c>
      <c r="S22" s="11">
        <v>16.600000000000001</v>
      </c>
      <c r="T22" s="11">
        <v>266.22000000000003</v>
      </c>
      <c r="U22" s="11">
        <v>321.22000000000003</v>
      </c>
      <c r="V22" s="11">
        <f t="shared" si="1"/>
        <v>-0.6199999999999477</v>
      </c>
    </row>
    <row r="23" spans="1:22" x14ac:dyDescent="0.25">
      <c r="A23" s="11">
        <f t="shared" si="0"/>
        <v>22</v>
      </c>
      <c r="B23" s="11">
        <v>16763</v>
      </c>
      <c r="C23" s="11" t="s">
        <v>782</v>
      </c>
      <c r="D23" s="11" t="s">
        <v>116</v>
      </c>
      <c r="E23" s="11" t="s">
        <v>783</v>
      </c>
      <c r="F23" s="11">
        <v>16</v>
      </c>
      <c r="G23" s="11">
        <v>309</v>
      </c>
      <c r="H23" s="11">
        <v>492</v>
      </c>
      <c r="I23" s="11">
        <v>62.8</v>
      </c>
      <c r="J23" s="11">
        <v>3627</v>
      </c>
      <c r="K23" s="11">
        <v>7.4</v>
      </c>
      <c r="L23" s="11">
        <v>22</v>
      </c>
      <c r="M23" s="11">
        <v>14</v>
      </c>
      <c r="N23" s="11">
        <v>88.2</v>
      </c>
      <c r="O23" s="11">
        <v>50</v>
      </c>
      <c r="P23" s="11">
        <v>352</v>
      </c>
      <c r="Q23" s="11">
        <v>7</v>
      </c>
      <c r="R23" s="11">
        <v>3</v>
      </c>
      <c r="S23" s="11">
        <v>16.100000000000001</v>
      </c>
      <c r="T23" s="11">
        <v>258.27999999999997</v>
      </c>
      <c r="U23" s="11">
        <v>320.08</v>
      </c>
      <c r="V23" s="11">
        <f t="shared" si="1"/>
        <v>-1.7599999999999909</v>
      </c>
    </row>
    <row r="24" spans="1:22" x14ac:dyDescent="0.25">
      <c r="A24">
        <f t="shared" si="0"/>
        <v>23</v>
      </c>
      <c r="B24">
        <v>3867</v>
      </c>
      <c r="C24" t="s">
        <v>287</v>
      </c>
      <c r="D24" t="s">
        <v>116</v>
      </c>
      <c r="E24" t="s">
        <v>288</v>
      </c>
      <c r="F24">
        <v>16</v>
      </c>
      <c r="G24">
        <v>336</v>
      </c>
      <c r="H24">
        <v>506</v>
      </c>
      <c r="I24">
        <v>66.400000000000006</v>
      </c>
      <c r="J24">
        <v>3921</v>
      </c>
      <c r="K24">
        <v>7.7</v>
      </c>
      <c r="L24">
        <v>28</v>
      </c>
      <c r="M24">
        <v>13</v>
      </c>
      <c r="N24">
        <v>97.5</v>
      </c>
      <c r="O24">
        <v>20</v>
      </c>
      <c r="P24">
        <v>59</v>
      </c>
      <c r="Q24">
        <v>3</v>
      </c>
      <c r="R24">
        <v>0</v>
      </c>
      <c r="S24">
        <v>15.5</v>
      </c>
      <c r="T24">
        <v>248.74</v>
      </c>
      <c r="U24">
        <v>315.94</v>
      </c>
      <c r="V24">
        <f t="shared" si="1"/>
        <v>-5.8999999999999773</v>
      </c>
    </row>
    <row r="25" spans="1:22" x14ac:dyDescent="0.25">
      <c r="A25">
        <f t="shared" si="0"/>
        <v>24</v>
      </c>
      <c r="B25">
        <v>8972</v>
      </c>
      <c r="C25" t="s">
        <v>272</v>
      </c>
      <c r="D25" t="s">
        <v>116</v>
      </c>
      <c r="E25" t="s">
        <v>273</v>
      </c>
      <c r="F25">
        <v>16</v>
      </c>
      <c r="G25">
        <v>333</v>
      </c>
      <c r="H25">
        <v>525</v>
      </c>
      <c r="I25">
        <v>63.4</v>
      </c>
      <c r="J25">
        <v>3826</v>
      </c>
      <c r="K25">
        <v>7.3</v>
      </c>
      <c r="L25">
        <v>25</v>
      </c>
      <c r="M25">
        <v>16</v>
      </c>
      <c r="N25">
        <v>88.5</v>
      </c>
      <c r="O25">
        <v>36</v>
      </c>
      <c r="P25">
        <v>181</v>
      </c>
      <c r="Q25">
        <v>5</v>
      </c>
      <c r="R25">
        <v>1</v>
      </c>
      <c r="S25">
        <v>15.3</v>
      </c>
      <c r="T25">
        <v>245.14</v>
      </c>
      <c r="U25">
        <v>311.74</v>
      </c>
      <c r="V25">
        <f t="shared" si="1"/>
        <v>-10.099999999999966</v>
      </c>
    </row>
    <row r="26" spans="1:22" x14ac:dyDescent="0.25">
      <c r="A26">
        <f t="shared" si="0"/>
        <v>25</v>
      </c>
      <c r="B26">
        <v>4314</v>
      </c>
      <c r="C26" t="s">
        <v>429</v>
      </c>
      <c r="D26" t="s">
        <v>116</v>
      </c>
      <c r="E26" t="s">
        <v>430</v>
      </c>
      <c r="F26">
        <v>16</v>
      </c>
      <c r="G26">
        <v>297</v>
      </c>
      <c r="H26">
        <v>466</v>
      </c>
      <c r="I26">
        <v>63.7</v>
      </c>
      <c r="J26">
        <v>3394</v>
      </c>
      <c r="K26">
        <v>7.3</v>
      </c>
      <c r="L26">
        <v>26</v>
      </c>
      <c r="M26">
        <v>7</v>
      </c>
      <c r="N26">
        <v>97.9</v>
      </c>
      <c r="O26">
        <v>21</v>
      </c>
      <c r="P26">
        <v>42</v>
      </c>
      <c r="Q26">
        <v>2</v>
      </c>
      <c r="R26">
        <v>1</v>
      </c>
      <c r="S26">
        <v>14.7</v>
      </c>
      <c r="T26">
        <v>235.96</v>
      </c>
      <c r="U26">
        <v>295.35999999999996</v>
      </c>
      <c r="V26">
        <f t="shared" si="1"/>
        <v>-26.480000000000018</v>
      </c>
    </row>
    <row r="27" spans="1:22" x14ac:dyDescent="0.25">
      <c r="A27" s="11">
        <f t="shared" si="0"/>
        <v>26</v>
      </c>
      <c r="B27" s="11">
        <v>14053</v>
      </c>
      <c r="C27" s="11" t="s">
        <v>399</v>
      </c>
      <c r="D27" s="11" t="s">
        <v>116</v>
      </c>
      <c r="E27" s="11" t="s">
        <v>400</v>
      </c>
      <c r="F27" s="11">
        <v>16</v>
      </c>
      <c r="G27" s="11">
        <v>321</v>
      </c>
      <c r="H27" s="11">
        <v>532</v>
      </c>
      <c r="I27" s="11">
        <v>60.3</v>
      </c>
      <c r="J27" s="11">
        <v>3755</v>
      </c>
      <c r="K27" s="11">
        <v>7.1</v>
      </c>
      <c r="L27" s="11">
        <v>24</v>
      </c>
      <c r="M27" s="11">
        <v>14</v>
      </c>
      <c r="N27" s="11">
        <v>85.9</v>
      </c>
      <c r="O27" s="11">
        <v>34</v>
      </c>
      <c r="P27" s="11">
        <v>103</v>
      </c>
      <c r="Q27" s="11">
        <v>3</v>
      </c>
      <c r="R27" s="11">
        <v>0</v>
      </c>
      <c r="S27" s="11">
        <v>14.3</v>
      </c>
      <c r="T27" s="11">
        <v>228.5</v>
      </c>
      <c r="U27" s="11">
        <v>292.7</v>
      </c>
      <c r="V27" s="11">
        <f t="shared" si="1"/>
        <v>-29.139999999999986</v>
      </c>
    </row>
    <row r="28" spans="1:22" x14ac:dyDescent="0.25">
      <c r="A28">
        <f t="shared" si="0"/>
        <v>27</v>
      </c>
      <c r="B28">
        <v>16497</v>
      </c>
      <c r="C28" t="s">
        <v>425</v>
      </c>
      <c r="D28" t="s">
        <v>116</v>
      </c>
      <c r="E28" t="s">
        <v>426</v>
      </c>
      <c r="F28">
        <v>16</v>
      </c>
      <c r="G28">
        <v>300</v>
      </c>
      <c r="H28">
        <v>457</v>
      </c>
      <c r="I28">
        <v>65.599999999999994</v>
      </c>
      <c r="J28">
        <v>3316</v>
      </c>
      <c r="K28">
        <v>7.3</v>
      </c>
      <c r="L28">
        <v>19</v>
      </c>
      <c r="M28">
        <v>11</v>
      </c>
      <c r="N28">
        <v>90.9</v>
      </c>
      <c r="O28">
        <v>56</v>
      </c>
      <c r="P28">
        <v>222</v>
      </c>
      <c r="Q28">
        <v>4</v>
      </c>
      <c r="R28">
        <v>1</v>
      </c>
      <c r="S28">
        <v>13.4</v>
      </c>
      <c r="T28">
        <v>214.84</v>
      </c>
      <c r="U28">
        <v>274.83999999999997</v>
      </c>
      <c r="V28">
        <f t="shared" si="1"/>
        <v>-47</v>
      </c>
    </row>
    <row r="29" spans="1:22" x14ac:dyDescent="0.25">
      <c r="A29">
        <f t="shared" si="0"/>
        <v>28</v>
      </c>
      <c r="B29">
        <v>14257</v>
      </c>
      <c r="C29" t="s">
        <v>282</v>
      </c>
      <c r="D29" t="s">
        <v>116</v>
      </c>
      <c r="E29" t="s">
        <v>283</v>
      </c>
      <c r="F29">
        <v>16</v>
      </c>
      <c r="G29">
        <v>283</v>
      </c>
      <c r="H29">
        <v>462</v>
      </c>
      <c r="I29">
        <v>61.3</v>
      </c>
      <c r="J29">
        <v>3284</v>
      </c>
      <c r="K29">
        <v>7.1</v>
      </c>
      <c r="L29">
        <v>16</v>
      </c>
      <c r="M29">
        <v>12</v>
      </c>
      <c r="N29">
        <v>83.5</v>
      </c>
      <c r="O29">
        <v>291</v>
      </c>
      <c r="P29">
        <v>291</v>
      </c>
      <c r="Q29">
        <v>1</v>
      </c>
      <c r="R29">
        <v>2</v>
      </c>
      <c r="S29">
        <v>13.3</v>
      </c>
      <c r="T29">
        <v>212.46</v>
      </c>
      <c r="U29">
        <v>269.06</v>
      </c>
      <c r="V29">
        <f t="shared" si="1"/>
        <v>-52.779999999999973</v>
      </c>
    </row>
    <row r="30" spans="1:22" x14ac:dyDescent="0.25">
      <c r="A30">
        <f t="shared" si="0"/>
        <v>29</v>
      </c>
      <c r="B30">
        <v>17922</v>
      </c>
      <c r="C30" t="s">
        <v>416</v>
      </c>
      <c r="D30" t="s">
        <v>116</v>
      </c>
      <c r="E30" t="s">
        <v>417</v>
      </c>
      <c r="F30">
        <v>16</v>
      </c>
      <c r="G30">
        <v>260</v>
      </c>
      <c r="H30">
        <v>465</v>
      </c>
      <c r="I30">
        <v>55.9</v>
      </c>
      <c r="J30">
        <v>2980</v>
      </c>
      <c r="K30">
        <v>6.4</v>
      </c>
      <c r="L30">
        <v>16</v>
      </c>
      <c r="M30">
        <v>13</v>
      </c>
      <c r="N30">
        <v>75.2</v>
      </c>
      <c r="O30">
        <v>22</v>
      </c>
      <c r="P30">
        <v>88</v>
      </c>
      <c r="Q30">
        <v>4</v>
      </c>
      <c r="R30">
        <v>0</v>
      </c>
      <c r="S30">
        <v>10.4</v>
      </c>
      <c r="T30">
        <v>166</v>
      </c>
      <c r="U30">
        <v>218</v>
      </c>
      <c r="V30">
        <f t="shared" si="1"/>
        <v>-103.83999999999997</v>
      </c>
    </row>
    <row r="31" spans="1:22" x14ac:dyDescent="0.25">
      <c r="A31">
        <f t="shared" si="0"/>
        <v>30</v>
      </c>
      <c r="B31">
        <v>12982</v>
      </c>
      <c r="C31" t="s">
        <v>773</v>
      </c>
      <c r="D31" t="s">
        <v>116</v>
      </c>
      <c r="E31" t="s">
        <v>774</v>
      </c>
      <c r="F31">
        <v>16</v>
      </c>
      <c r="G31">
        <v>217</v>
      </c>
      <c r="H31">
        <v>349</v>
      </c>
      <c r="I31">
        <v>62.2</v>
      </c>
      <c r="J31">
        <v>2453</v>
      </c>
      <c r="K31">
        <v>7</v>
      </c>
      <c r="L31">
        <v>13</v>
      </c>
      <c r="M31">
        <v>10</v>
      </c>
      <c r="N31">
        <v>83.7</v>
      </c>
      <c r="O31">
        <v>39</v>
      </c>
      <c r="P31">
        <v>233</v>
      </c>
      <c r="Q31">
        <v>6</v>
      </c>
      <c r="R31">
        <v>1</v>
      </c>
      <c r="S31">
        <v>10</v>
      </c>
      <c r="T31">
        <v>159.41999999999999</v>
      </c>
      <c r="U31">
        <v>202.82000000000002</v>
      </c>
      <c r="V31">
        <f t="shared" si="1"/>
        <v>-119.01999999999995</v>
      </c>
    </row>
    <row r="32" spans="1:22" x14ac:dyDescent="0.25">
      <c r="A32">
        <f t="shared" si="0"/>
        <v>31</v>
      </c>
      <c r="B32">
        <v>11527</v>
      </c>
      <c r="C32" t="s">
        <v>115</v>
      </c>
      <c r="D32" t="s">
        <v>116</v>
      </c>
      <c r="E32" t="s">
        <v>107</v>
      </c>
      <c r="F32">
        <v>16</v>
      </c>
      <c r="G32">
        <v>227</v>
      </c>
      <c r="H32">
        <v>347</v>
      </c>
      <c r="I32">
        <v>65.400000000000006</v>
      </c>
      <c r="J32">
        <v>2496</v>
      </c>
      <c r="K32">
        <v>7.2</v>
      </c>
      <c r="L32">
        <v>14</v>
      </c>
      <c r="M32">
        <v>9</v>
      </c>
      <c r="N32">
        <v>89.2</v>
      </c>
      <c r="O32">
        <v>22</v>
      </c>
      <c r="P32">
        <v>44</v>
      </c>
      <c r="Q32">
        <v>2</v>
      </c>
      <c r="R32">
        <v>0</v>
      </c>
      <c r="S32">
        <v>8.9</v>
      </c>
      <c r="T32">
        <v>142.24</v>
      </c>
      <c r="U32">
        <v>187.64000000000001</v>
      </c>
      <c r="V32">
        <f t="shared" si="1"/>
        <v>-134.19999999999996</v>
      </c>
    </row>
    <row r="33" spans="1:22" x14ac:dyDescent="0.25">
      <c r="A33">
        <f t="shared" si="0"/>
        <v>32</v>
      </c>
      <c r="B33">
        <v>8415</v>
      </c>
      <c r="C33" t="s">
        <v>291</v>
      </c>
      <c r="D33" t="s">
        <v>116</v>
      </c>
      <c r="E33" t="s">
        <v>292</v>
      </c>
      <c r="F33">
        <v>16</v>
      </c>
      <c r="G33">
        <v>213</v>
      </c>
      <c r="H33">
        <v>340</v>
      </c>
      <c r="I33">
        <v>62.6</v>
      </c>
      <c r="J33">
        <v>2440</v>
      </c>
      <c r="K33">
        <v>7.2</v>
      </c>
      <c r="L33">
        <v>13</v>
      </c>
      <c r="M33">
        <v>11</v>
      </c>
      <c r="N33">
        <v>83.5</v>
      </c>
      <c r="O33">
        <v>17</v>
      </c>
      <c r="P33">
        <v>67</v>
      </c>
      <c r="Q33">
        <v>3.9</v>
      </c>
      <c r="R33">
        <v>0</v>
      </c>
      <c r="S33">
        <v>8.4</v>
      </c>
      <c r="T33">
        <v>134.30000000000001</v>
      </c>
      <c r="U33">
        <v>176.89999999999998</v>
      </c>
      <c r="V33">
        <f t="shared" si="1"/>
        <v>-144.94</v>
      </c>
    </row>
    <row r="34" spans="1:22" x14ac:dyDescent="0.25">
      <c r="A34">
        <f t="shared" ref="A34:A65" si="2">_xlfn.RANK.AVG(U34,$U$2:$U$104,0)</f>
        <v>33</v>
      </c>
      <c r="B34">
        <v>13443</v>
      </c>
      <c r="C34" t="s">
        <v>775</v>
      </c>
      <c r="D34" t="s">
        <v>116</v>
      </c>
      <c r="E34" t="s">
        <v>774</v>
      </c>
      <c r="F34">
        <v>16</v>
      </c>
      <c r="G34">
        <v>113</v>
      </c>
      <c r="H34">
        <v>198</v>
      </c>
      <c r="I34">
        <v>57.1</v>
      </c>
      <c r="J34">
        <v>1344</v>
      </c>
      <c r="K34">
        <v>6.8</v>
      </c>
      <c r="L34">
        <v>7</v>
      </c>
      <c r="M34">
        <v>5</v>
      </c>
      <c r="N34">
        <v>79.2</v>
      </c>
      <c r="O34">
        <v>31</v>
      </c>
      <c r="P34">
        <v>187</v>
      </c>
      <c r="Q34">
        <v>6</v>
      </c>
      <c r="R34">
        <v>1</v>
      </c>
      <c r="S34">
        <v>6</v>
      </c>
      <c r="T34">
        <v>96.46</v>
      </c>
      <c r="U34">
        <v>119.05999999999999</v>
      </c>
      <c r="V34">
        <f t="shared" si="1"/>
        <v>-202.77999999999997</v>
      </c>
    </row>
    <row r="35" spans="1:22" x14ac:dyDescent="0.25">
      <c r="A35">
        <f t="shared" si="2"/>
        <v>34</v>
      </c>
      <c r="B35">
        <v>17920</v>
      </c>
      <c r="C35" t="s">
        <v>117</v>
      </c>
      <c r="D35" t="s">
        <v>116</v>
      </c>
      <c r="E35" t="s">
        <v>107</v>
      </c>
      <c r="F35">
        <v>16</v>
      </c>
      <c r="G35">
        <v>85</v>
      </c>
      <c r="H35">
        <v>160</v>
      </c>
      <c r="I35">
        <v>53.1</v>
      </c>
      <c r="J35">
        <v>984</v>
      </c>
      <c r="K35">
        <v>6.2</v>
      </c>
      <c r="L35">
        <v>5</v>
      </c>
      <c r="M35">
        <v>5</v>
      </c>
      <c r="N35">
        <v>69.400000000000006</v>
      </c>
      <c r="O35">
        <v>18</v>
      </c>
      <c r="P35">
        <v>71</v>
      </c>
      <c r="Q35">
        <v>3.9</v>
      </c>
      <c r="R35">
        <v>1</v>
      </c>
      <c r="S35">
        <v>3.9</v>
      </c>
      <c r="T35">
        <v>62.46</v>
      </c>
      <c r="U35">
        <v>79.459999999999994</v>
      </c>
      <c r="V35">
        <f t="shared" si="1"/>
        <v>-242.38</v>
      </c>
    </row>
    <row r="36" spans="1:22" x14ac:dyDescent="0.25">
      <c r="A36">
        <f t="shared" si="2"/>
        <v>35</v>
      </c>
      <c r="B36">
        <v>16041</v>
      </c>
      <c r="C36" t="s">
        <v>431</v>
      </c>
      <c r="D36" t="s">
        <v>116</v>
      </c>
      <c r="E36" t="s">
        <v>430</v>
      </c>
      <c r="F36">
        <v>16</v>
      </c>
      <c r="G36">
        <v>84</v>
      </c>
      <c r="H36">
        <v>140</v>
      </c>
      <c r="I36">
        <v>60</v>
      </c>
      <c r="J36">
        <v>947</v>
      </c>
      <c r="K36">
        <v>6.8</v>
      </c>
      <c r="L36">
        <v>6</v>
      </c>
      <c r="M36">
        <v>3</v>
      </c>
      <c r="N36">
        <v>85.6</v>
      </c>
      <c r="O36">
        <v>18</v>
      </c>
      <c r="P36">
        <v>18</v>
      </c>
      <c r="Q36">
        <v>1</v>
      </c>
      <c r="R36">
        <v>0</v>
      </c>
      <c r="S36">
        <v>3.6</v>
      </c>
      <c r="T36">
        <v>57.68</v>
      </c>
      <c r="U36">
        <v>74.48</v>
      </c>
      <c r="V36">
        <f t="shared" si="1"/>
        <v>-247.35999999999996</v>
      </c>
    </row>
    <row r="37" spans="1:22" x14ac:dyDescent="0.25">
      <c r="A37">
        <f t="shared" si="2"/>
        <v>36</v>
      </c>
      <c r="B37">
        <v>17929</v>
      </c>
      <c r="C37" t="s">
        <v>293</v>
      </c>
      <c r="D37" t="s">
        <v>116</v>
      </c>
      <c r="E37" t="s">
        <v>292</v>
      </c>
      <c r="F37">
        <v>16</v>
      </c>
      <c r="G37">
        <v>77</v>
      </c>
      <c r="H37">
        <v>144</v>
      </c>
      <c r="I37">
        <v>53.5</v>
      </c>
      <c r="J37">
        <v>905</v>
      </c>
      <c r="K37">
        <v>6.3</v>
      </c>
      <c r="L37">
        <v>4</v>
      </c>
      <c r="M37">
        <v>5</v>
      </c>
      <c r="N37">
        <v>67.599999999999994</v>
      </c>
      <c r="O37">
        <v>12</v>
      </c>
      <c r="P37">
        <v>49</v>
      </c>
      <c r="Q37">
        <v>4.0999999999999996</v>
      </c>
      <c r="R37">
        <v>0</v>
      </c>
      <c r="S37">
        <v>2.9</v>
      </c>
      <c r="T37">
        <v>47.1</v>
      </c>
      <c r="U37">
        <v>62.5</v>
      </c>
      <c r="V37">
        <f t="shared" si="1"/>
        <v>-259.33999999999997</v>
      </c>
    </row>
    <row r="38" spans="1:22" x14ac:dyDescent="0.25">
      <c r="A38">
        <f t="shared" si="2"/>
        <v>37</v>
      </c>
      <c r="B38">
        <v>5282</v>
      </c>
      <c r="C38" t="s">
        <v>284</v>
      </c>
      <c r="D38" t="s">
        <v>116</v>
      </c>
      <c r="E38" t="s">
        <v>283</v>
      </c>
      <c r="F38">
        <v>16</v>
      </c>
      <c r="G38">
        <v>60</v>
      </c>
      <c r="H38">
        <v>83</v>
      </c>
      <c r="I38">
        <v>72.3</v>
      </c>
      <c r="J38">
        <v>671</v>
      </c>
      <c r="K38">
        <v>8.1</v>
      </c>
      <c r="L38">
        <v>4</v>
      </c>
      <c r="M38">
        <v>2</v>
      </c>
      <c r="N38">
        <v>102</v>
      </c>
      <c r="O38">
        <v>7</v>
      </c>
      <c r="P38">
        <v>37</v>
      </c>
      <c r="Q38">
        <v>5.3</v>
      </c>
      <c r="R38">
        <v>0</v>
      </c>
      <c r="S38">
        <v>2.7</v>
      </c>
      <c r="T38">
        <v>42.54</v>
      </c>
      <c r="U38">
        <v>54.540000000000006</v>
      </c>
      <c r="V38">
        <f t="shared" si="1"/>
        <v>-267.29999999999995</v>
      </c>
    </row>
    <row r="39" spans="1:22" x14ac:dyDescent="0.25">
      <c r="A39">
        <f t="shared" si="2"/>
        <v>38</v>
      </c>
      <c r="B39">
        <v>14219</v>
      </c>
      <c r="C39" t="s">
        <v>289</v>
      </c>
      <c r="D39" t="s">
        <v>116</v>
      </c>
      <c r="E39" t="s">
        <v>288</v>
      </c>
      <c r="F39">
        <v>16</v>
      </c>
      <c r="G39">
        <v>21</v>
      </c>
      <c r="H39">
        <v>54</v>
      </c>
      <c r="I39">
        <v>38.9</v>
      </c>
      <c r="J39">
        <v>730</v>
      </c>
      <c r="K39">
        <v>13.5</v>
      </c>
      <c r="L39">
        <v>5</v>
      </c>
      <c r="M39">
        <v>3</v>
      </c>
      <c r="N39">
        <v>94.3</v>
      </c>
      <c r="O39">
        <v>13</v>
      </c>
      <c r="P39">
        <v>13</v>
      </c>
      <c r="Q39">
        <v>1</v>
      </c>
      <c r="R39">
        <v>0</v>
      </c>
      <c r="S39">
        <v>2.8</v>
      </c>
      <c r="T39">
        <v>44.5</v>
      </c>
      <c r="U39">
        <v>48.7</v>
      </c>
      <c r="V39">
        <f t="shared" si="1"/>
        <v>-273.14</v>
      </c>
    </row>
    <row r="40" spans="1:22" x14ac:dyDescent="0.25">
      <c r="A40">
        <f t="shared" si="2"/>
        <v>39</v>
      </c>
      <c r="B40">
        <v>15694</v>
      </c>
      <c r="C40" t="s">
        <v>418</v>
      </c>
      <c r="D40" t="s">
        <v>116</v>
      </c>
      <c r="E40" t="s">
        <v>417</v>
      </c>
      <c r="F40">
        <v>16</v>
      </c>
      <c r="G40">
        <v>35</v>
      </c>
      <c r="H40">
        <v>38</v>
      </c>
      <c r="I40">
        <v>92.1</v>
      </c>
      <c r="J40">
        <v>496</v>
      </c>
      <c r="K40">
        <v>13.1</v>
      </c>
      <c r="L40">
        <v>3</v>
      </c>
      <c r="M40">
        <v>2</v>
      </c>
      <c r="N40">
        <v>123.1</v>
      </c>
      <c r="O40">
        <v>11</v>
      </c>
      <c r="P40">
        <v>11</v>
      </c>
      <c r="Q40">
        <v>1</v>
      </c>
      <c r="R40">
        <v>0</v>
      </c>
      <c r="S40">
        <v>1.8</v>
      </c>
      <c r="T40">
        <v>28.94</v>
      </c>
      <c r="U40">
        <v>35.940000000000005</v>
      </c>
      <c r="V40">
        <f t="shared" si="1"/>
        <v>-285.89999999999998</v>
      </c>
    </row>
    <row r="41" spans="1:22" x14ac:dyDescent="0.25">
      <c r="A41">
        <f t="shared" si="2"/>
        <v>40</v>
      </c>
      <c r="B41">
        <v>8358</v>
      </c>
      <c r="C41" t="s">
        <v>274</v>
      </c>
      <c r="D41" t="s">
        <v>116</v>
      </c>
      <c r="E41" t="s">
        <v>273</v>
      </c>
      <c r="F41">
        <v>16</v>
      </c>
      <c r="G41">
        <v>38</v>
      </c>
      <c r="H41">
        <v>38</v>
      </c>
      <c r="I41">
        <v>100</v>
      </c>
      <c r="J41">
        <v>435</v>
      </c>
      <c r="K41">
        <v>11.4</v>
      </c>
      <c r="L41">
        <v>3</v>
      </c>
      <c r="M41">
        <v>1</v>
      </c>
      <c r="N41">
        <v>129.69999999999999</v>
      </c>
      <c r="O41">
        <v>3</v>
      </c>
      <c r="P41">
        <v>9</v>
      </c>
      <c r="Q41">
        <v>3</v>
      </c>
      <c r="R41">
        <v>0</v>
      </c>
      <c r="S41">
        <v>1.8</v>
      </c>
      <c r="T41">
        <v>28.3</v>
      </c>
      <c r="U41">
        <v>35.9</v>
      </c>
      <c r="V41">
        <f t="shared" si="1"/>
        <v>-285.94</v>
      </c>
    </row>
    <row r="42" spans="1:22" x14ac:dyDescent="0.25">
      <c r="A42">
        <f t="shared" si="2"/>
        <v>41</v>
      </c>
      <c r="B42">
        <v>17009</v>
      </c>
      <c r="C42" t="s">
        <v>294</v>
      </c>
      <c r="D42" t="s">
        <v>116</v>
      </c>
      <c r="E42" t="s">
        <v>292</v>
      </c>
      <c r="F42">
        <v>16</v>
      </c>
      <c r="G42">
        <v>34</v>
      </c>
      <c r="H42">
        <v>65</v>
      </c>
      <c r="I42">
        <v>52.3</v>
      </c>
      <c r="J42">
        <v>382</v>
      </c>
      <c r="K42">
        <v>5.9</v>
      </c>
      <c r="L42">
        <v>3</v>
      </c>
      <c r="M42">
        <v>2</v>
      </c>
      <c r="N42">
        <v>72.7</v>
      </c>
      <c r="O42">
        <v>18</v>
      </c>
      <c r="P42">
        <v>18</v>
      </c>
      <c r="Q42">
        <v>1</v>
      </c>
      <c r="R42">
        <v>0</v>
      </c>
      <c r="S42">
        <v>1.6</v>
      </c>
      <c r="T42">
        <v>25.08</v>
      </c>
      <c r="U42">
        <v>31.880000000000003</v>
      </c>
      <c r="V42">
        <f t="shared" si="1"/>
        <v>-289.95999999999998</v>
      </c>
    </row>
    <row r="43" spans="1:22" x14ac:dyDescent="0.25">
      <c r="A43">
        <f t="shared" si="2"/>
        <v>42</v>
      </c>
      <c r="B43">
        <v>13910</v>
      </c>
      <c r="C43" t="s">
        <v>401</v>
      </c>
      <c r="D43" t="s">
        <v>116</v>
      </c>
      <c r="E43" t="s">
        <v>400</v>
      </c>
      <c r="F43">
        <v>16</v>
      </c>
      <c r="G43">
        <v>24</v>
      </c>
      <c r="H43">
        <v>26</v>
      </c>
      <c r="I43">
        <v>92.3</v>
      </c>
      <c r="J43">
        <v>265</v>
      </c>
      <c r="K43">
        <v>10.199999999999999</v>
      </c>
      <c r="L43">
        <v>2</v>
      </c>
      <c r="M43">
        <v>1</v>
      </c>
      <c r="N43">
        <v>118.8</v>
      </c>
      <c r="O43">
        <v>3</v>
      </c>
      <c r="P43">
        <v>9</v>
      </c>
      <c r="Q43">
        <v>3</v>
      </c>
      <c r="R43">
        <v>0</v>
      </c>
      <c r="S43">
        <v>1.1000000000000001</v>
      </c>
      <c r="T43">
        <v>17.5</v>
      </c>
      <c r="U43">
        <v>22.3</v>
      </c>
      <c r="V43">
        <f t="shared" si="1"/>
        <v>-299.53999999999996</v>
      </c>
    </row>
    <row r="44" spans="1:22" x14ac:dyDescent="0.25">
      <c r="A44">
        <f t="shared" si="2"/>
        <v>43</v>
      </c>
      <c r="B44">
        <v>14895</v>
      </c>
      <c r="C44" t="s">
        <v>640</v>
      </c>
      <c r="D44" t="s">
        <v>116</v>
      </c>
      <c r="E44" t="s">
        <v>639</v>
      </c>
      <c r="F44">
        <v>16</v>
      </c>
      <c r="G44">
        <v>22</v>
      </c>
      <c r="H44">
        <v>22</v>
      </c>
      <c r="I44">
        <v>100</v>
      </c>
      <c r="J44">
        <v>234</v>
      </c>
      <c r="K44">
        <v>10.6</v>
      </c>
      <c r="L44">
        <v>2</v>
      </c>
      <c r="M44">
        <v>1</v>
      </c>
      <c r="N44">
        <v>122.4</v>
      </c>
      <c r="O44">
        <v>1</v>
      </c>
      <c r="P44">
        <v>24</v>
      </c>
      <c r="Q44">
        <v>24</v>
      </c>
      <c r="R44">
        <v>0</v>
      </c>
      <c r="S44">
        <v>1.1000000000000001</v>
      </c>
      <c r="T44">
        <v>17.760000000000002</v>
      </c>
      <c r="U44">
        <v>22.159999999999997</v>
      </c>
      <c r="V44">
        <f t="shared" si="1"/>
        <v>-299.67999999999995</v>
      </c>
    </row>
    <row r="45" spans="1:22" x14ac:dyDescent="0.25">
      <c r="A45">
        <f t="shared" si="2"/>
        <v>44</v>
      </c>
      <c r="B45">
        <v>11047</v>
      </c>
      <c r="C45" t="s">
        <v>788</v>
      </c>
      <c r="D45" t="s">
        <v>116</v>
      </c>
      <c r="E45" t="s">
        <v>787</v>
      </c>
      <c r="F45">
        <v>16</v>
      </c>
      <c r="G45">
        <v>17</v>
      </c>
      <c r="H45">
        <v>17</v>
      </c>
      <c r="I45">
        <v>100</v>
      </c>
      <c r="J45">
        <v>220</v>
      </c>
      <c r="K45">
        <v>12.9</v>
      </c>
      <c r="L45">
        <v>1</v>
      </c>
      <c r="M45">
        <v>0</v>
      </c>
      <c r="N45">
        <v>138.4</v>
      </c>
      <c r="O45">
        <v>14</v>
      </c>
      <c r="P45">
        <v>14</v>
      </c>
      <c r="Q45">
        <v>1</v>
      </c>
      <c r="R45">
        <v>0</v>
      </c>
      <c r="S45">
        <v>0.9</v>
      </c>
      <c r="T45">
        <v>14.2</v>
      </c>
      <c r="U45">
        <v>17.599999999999998</v>
      </c>
      <c r="V45">
        <f t="shared" si="1"/>
        <v>-304.23999999999995</v>
      </c>
    </row>
    <row r="46" spans="1:22" x14ac:dyDescent="0.25">
      <c r="A46">
        <f t="shared" si="2"/>
        <v>45</v>
      </c>
      <c r="B46">
        <v>9902</v>
      </c>
      <c r="C46" t="s">
        <v>118</v>
      </c>
      <c r="D46" t="s">
        <v>116</v>
      </c>
      <c r="E46" t="s">
        <v>107</v>
      </c>
      <c r="F46">
        <v>16</v>
      </c>
      <c r="G46">
        <v>20</v>
      </c>
      <c r="H46">
        <v>36</v>
      </c>
      <c r="I46">
        <v>55.6</v>
      </c>
      <c r="J46">
        <v>232</v>
      </c>
      <c r="K46">
        <v>6.4</v>
      </c>
      <c r="L46">
        <v>1</v>
      </c>
      <c r="M46">
        <v>1</v>
      </c>
      <c r="N46">
        <v>72.900000000000006</v>
      </c>
      <c r="O46">
        <v>10</v>
      </c>
      <c r="P46">
        <v>10</v>
      </c>
      <c r="Q46">
        <v>1</v>
      </c>
      <c r="R46">
        <v>0</v>
      </c>
      <c r="S46">
        <v>0.8</v>
      </c>
      <c r="T46">
        <v>12.28</v>
      </c>
      <c r="U46">
        <v>16.28</v>
      </c>
      <c r="V46">
        <f t="shared" si="1"/>
        <v>-305.55999999999995</v>
      </c>
    </row>
    <row r="47" spans="1:22" x14ac:dyDescent="0.25">
      <c r="A47">
        <f t="shared" si="2"/>
        <v>46</v>
      </c>
      <c r="B47">
        <v>16116</v>
      </c>
      <c r="C47" t="s">
        <v>280</v>
      </c>
      <c r="D47" t="s">
        <v>116</v>
      </c>
      <c r="E47" t="s">
        <v>279</v>
      </c>
      <c r="F47">
        <v>16</v>
      </c>
      <c r="G47">
        <v>20</v>
      </c>
      <c r="H47">
        <v>24</v>
      </c>
      <c r="I47">
        <v>83.3</v>
      </c>
      <c r="J47">
        <v>241</v>
      </c>
      <c r="K47">
        <v>10</v>
      </c>
      <c r="L47">
        <v>1</v>
      </c>
      <c r="M47">
        <v>1</v>
      </c>
      <c r="N47">
        <v>105</v>
      </c>
      <c r="O47">
        <v>3</v>
      </c>
      <c r="P47">
        <v>6</v>
      </c>
      <c r="Q47">
        <v>2</v>
      </c>
      <c r="R47">
        <v>0</v>
      </c>
      <c r="S47">
        <v>0.8</v>
      </c>
      <c r="T47">
        <v>12.24</v>
      </c>
      <c r="U47">
        <v>16.240000000000002</v>
      </c>
      <c r="V47">
        <f t="shared" si="1"/>
        <v>-305.59999999999997</v>
      </c>
    </row>
    <row r="48" spans="1:22" x14ac:dyDescent="0.25">
      <c r="A48">
        <f t="shared" si="2"/>
        <v>47</v>
      </c>
      <c r="B48">
        <v>17966</v>
      </c>
      <c r="C48" t="s">
        <v>285</v>
      </c>
      <c r="D48" t="s">
        <v>116</v>
      </c>
      <c r="E48" t="s">
        <v>283</v>
      </c>
      <c r="F48">
        <v>16</v>
      </c>
      <c r="G48">
        <v>21</v>
      </c>
      <c r="H48">
        <v>32</v>
      </c>
      <c r="I48">
        <v>65.599999999999994</v>
      </c>
      <c r="J48">
        <v>241</v>
      </c>
      <c r="K48">
        <v>7.5</v>
      </c>
      <c r="L48">
        <v>1</v>
      </c>
      <c r="M48">
        <v>1</v>
      </c>
      <c r="N48">
        <v>85.6</v>
      </c>
      <c r="O48">
        <v>1</v>
      </c>
      <c r="P48">
        <v>4</v>
      </c>
      <c r="Q48">
        <v>4</v>
      </c>
      <c r="R48">
        <v>0</v>
      </c>
      <c r="S48">
        <v>0.8</v>
      </c>
      <c r="T48">
        <v>12.04</v>
      </c>
      <c r="U48">
        <v>16.239999999999998</v>
      </c>
      <c r="V48">
        <f t="shared" si="1"/>
        <v>-305.59999999999997</v>
      </c>
    </row>
    <row r="49" spans="1:22" x14ac:dyDescent="0.25">
      <c r="A49">
        <f t="shared" si="2"/>
        <v>48</v>
      </c>
      <c r="B49">
        <v>14868</v>
      </c>
      <c r="C49" t="s">
        <v>173</v>
      </c>
      <c r="D49" t="s">
        <v>116</v>
      </c>
      <c r="E49" t="s">
        <v>172</v>
      </c>
      <c r="F49">
        <v>16</v>
      </c>
      <c r="G49">
        <v>17</v>
      </c>
      <c r="H49">
        <v>29</v>
      </c>
      <c r="I49">
        <v>58.6</v>
      </c>
      <c r="J49">
        <v>197</v>
      </c>
      <c r="K49">
        <v>6.8</v>
      </c>
      <c r="L49">
        <v>1</v>
      </c>
      <c r="M49">
        <v>1</v>
      </c>
      <c r="N49">
        <v>76.400000000000006</v>
      </c>
      <c r="O49">
        <v>3</v>
      </c>
      <c r="P49">
        <v>13</v>
      </c>
      <c r="Q49">
        <v>4.3</v>
      </c>
      <c r="R49">
        <v>0</v>
      </c>
      <c r="S49">
        <v>0.7</v>
      </c>
      <c r="T49">
        <v>11.18</v>
      </c>
      <c r="U49">
        <v>14.58</v>
      </c>
      <c r="V49">
        <f t="shared" si="1"/>
        <v>-307.26</v>
      </c>
    </row>
    <row r="50" spans="1:22" x14ac:dyDescent="0.25">
      <c r="A50">
        <f t="shared" si="2"/>
        <v>49</v>
      </c>
      <c r="B50">
        <v>15746</v>
      </c>
      <c r="C50" t="s">
        <v>645</v>
      </c>
      <c r="D50" t="s">
        <v>116</v>
      </c>
      <c r="E50" t="s">
        <v>644</v>
      </c>
      <c r="F50">
        <v>16</v>
      </c>
      <c r="G50">
        <v>18</v>
      </c>
      <c r="H50">
        <v>18</v>
      </c>
      <c r="I50">
        <v>100</v>
      </c>
      <c r="J50">
        <v>167</v>
      </c>
      <c r="K50">
        <v>9.3000000000000007</v>
      </c>
      <c r="L50">
        <v>2</v>
      </c>
      <c r="M50">
        <v>2</v>
      </c>
      <c r="N50">
        <v>102.8</v>
      </c>
      <c r="O50">
        <v>2</v>
      </c>
      <c r="P50">
        <v>2</v>
      </c>
      <c r="Q50">
        <v>1</v>
      </c>
      <c r="R50">
        <v>0</v>
      </c>
      <c r="S50">
        <v>0.7</v>
      </c>
      <c r="T50">
        <v>10.88</v>
      </c>
      <c r="U50">
        <v>14.479999999999999</v>
      </c>
      <c r="V50">
        <f t="shared" si="1"/>
        <v>-307.35999999999996</v>
      </c>
    </row>
    <row r="51" spans="1:22" x14ac:dyDescent="0.25">
      <c r="A51">
        <f t="shared" si="2"/>
        <v>50</v>
      </c>
      <c r="B51">
        <v>15201</v>
      </c>
      <c r="C51" t="s">
        <v>780</v>
      </c>
      <c r="D51" t="s">
        <v>116</v>
      </c>
      <c r="E51" t="s">
        <v>779</v>
      </c>
      <c r="F51">
        <v>16</v>
      </c>
      <c r="G51">
        <v>17</v>
      </c>
      <c r="H51">
        <v>24</v>
      </c>
      <c r="I51">
        <v>70.8</v>
      </c>
      <c r="J51">
        <v>205</v>
      </c>
      <c r="K51">
        <v>8.5</v>
      </c>
      <c r="L51">
        <v>1</v>
      </c>
      <c r="M51">
        <v>1</v>
      </c>
      <c r="N51">
        <v>93.2</v>
      </c>
      <c r="O51">
        <v>5</v>
      </c>
      <c r="P51">
        <v>5</v>
      </c>
      <c r="Q51">
        <v>1</v>
      </c>
      <c r="R51">
        <v>0</v>
      </c>
      <c r="S51">
        <v>0.7</v>
      </c>
      <c r="T51">
        <v>10.7</v>
      </c>
      <c r="U51">
        <v>14.1</v>
      </c>
      <c r="V51">
        <f t="shared" si="1"/>
        <v>-307.73999999999995</v>
      </c>
    </row>
    <row r="52" spans="1:22" x14ac:dyDescent="0.25">
      <c r="A52">
        <f t="shared" si="2"/>
        <v>51</v>
      </c>
      <c r="B52">
        <v>8723</v>
      </c>
      <c r="C52" t="s">
        <v>784</v>
      </c>
      <c r="D52" t="s">
        <v>116</v>
      </c>
      <c r="E52" t="s">
        <v>783</v>
      </c>
      <c r="F52">
        <v>16</v>
      </c>
      <c r="G52">
        <v>17</v>
      </c>
      <c r="H52">
        <v>27</v>
      </c>
      <c r="I52">
        <v>63</v>
      </c>
      <c r="J52">
        <v>199</v>
      </c>
      <c r="K52">
        <v>7.4</v>
      </c>
      <c r="L52">
        <v>1</v>
      </c>
      <c r="M52">
        <v>1</v>
      </c>
      <c r="N52">
        <v>82.2</v>
      </c>
      <c r="O52">
        <v>1</v>
      </c>
      <c r="P52">
        <v>4</v>
      </c>
      <c r="Q52">
        <v>4</v>
      </c>
      <c r="R52">
        <v>0</v>
      </c>
      <c r="S52">
        <v>0.6</v>
      </c>
      <c r="T52">
        <v>10.36</v>
      </c>
      <c r="U52">
        <v>13.760000000000002</v>
      </c>
      <c r="V52">
        <f t="shared" si="1"/>
        <v>-308.08</v>
      </c>
    </row>
    <row r="53" spans="1:22" x14ac:dyDescent="0.25">
      <c r="A53">
        <f t="shared" si="2"/>
        <v>52</v>
      </c>
      <c r="B53">
        <v>8590</v>
      </c>
      <c r="C53" t="s">
        <v>394</v>
      </c>
      <c r="D53" t="s">
        <v>116</v>
      </c>
      <c r="E53" t="s">
        <v>393</v>
      </c>
      <c r="F53">
        <v>16</v>
      </c>
      <c r="G53">
        <v>19</v>
      </c>
      <c r="H53">
        <v>21</v>
      </c>
      <c r="I53">
        <v>90.5</v>
      </c>
      <c r="J53">
        <v>194</v>
      </c>
      <c r="K53">
        <v>9.1999999999999993</v>
      </c>
      <c r="L53">
        <v>1</v>
      </c>
      <c r="M53">
        <v>1</v>
      </c>
      <c r="N53">
        <v>101.2</v>
      </c>
      <c r="O53">
        <v>2</v>
      </c>
      <c r="P53">
        <v>2</v>
      </c>
      <c r="Q53">
        <v>1</v>
      </c>
      <c r="R53">
        <v>0</v>
      </c>
      <c r="S53">
        <v>0.6</v>
      </c>
      <c r="T53">
        <v>9.9600000000000009</v>
      </c>
      <c r="U53">
        <v>13.759999999999998</v>
      </c>
      <c r="V53">
        <f t="shared" si="1"/>
        <v>-308.08</v>
      </c>
    </row>
    <row r="54" spans="1:22" x14ac:dyDescent="0.25">
      <c r="A54">
        <f t="shared" si="2"/>
        <v>53</v>
      </c>
      <c r="B54">
        <v>4737</v>
      </c>
      <c r="C54" t="s">
        <v>136</v>
      </c>
      <c r="D54" t="s">
        <v>116</v>
      </c>
      <c r="E54" t="s">
        <v>135</v>
      </c>
      <c r="F54">
        <v>16</v>
      </c>
      <c r="G54">
        <v>17</v>
      </c>
      <c r="H54">
        <v>25</v>
      </c>
      <c r="I54">
        <v>68</v>
      </c>
      <c r="J54">
        <v>194</v>
      </c>
      <c r="K54">
        <v>7.8</v>
      </c>
      <c r="L54">
        <v>1</v>
      </c>
      <c r="M54">
        <v>1</v>
      </c>
      <c r="N54">
        <v>87.8</v>
      </c>
      <c r="O54">
        <v>4</v>
      </c>
      <c r="P54">
        <v>4</v>
      </c>
      <c r="Q54">
        <v>1</v>
      </c>
      <c r="R54">
        <v>0</v>
      </c>
      <c r="S54">
        <v>0.6</v>
      </c>
      <c r="T54">
        <v>10.16</v>
      </c>
      <c r="U54">
        <v>13.56</v>
      </c>
      <c r="V54">
        <f t="shared" si="1"/>
        <v>-308.27999999999997</v>
      </c>
    </row>
    <row r="55" spans="1:22" x14ac:dyDescent="0.25">
      <c r="A55">
        <f t="shared" si="2"/>
        <v>54</v>
      </c>
      <c r="B55">
        <v>11992</v>
      </c>
      <c r="C55" t="s">
        <v>427</v>
      </c>
      <c r="D55" t="s">
        <v>116</v>
      </c>
      <c r="E55" t="s">
        <v>426</v>
      </c>
      <c r="F55">
        <v>16</v>
      </c>
      <c r="G55">
        <v>15</v>
      </c>
      <c r="H55">
        <v>26</v>
      </c>
      <c r="I55">
        <v>57.7</v>
      </c>
      <c r="J55">
        <v>190</v>
      </c>
      <c r="K55">
        <v>7.3</v>
      </c>
      <c r="L55">
        <v>1</v>
      </c>
      <c r="M55">
        <v>1</v>
      </c>
      <c r="N55">
        <v>77.400000000000006</v>
      </c>
      <c r="O55">
        <v>3</v>
      </c>
      <c r="P55">
        <v>3</v>
      </c>
      <c r="Q55">
        <v>1</v>
      </c>
      <c r="R55">
        <v>0</v>
      </c>
      <c r="S55">
        <v>0.6</v>
      </c>
      <c r="T55">
        <v>9.9</v>
      </c>
      <c r="U55">
        <v>12.9</v>
      </c>
      <c r="V55">
        <f t="shared" si="1"/>
        <v>-308.94</v>
      </c>
    </row>
    <row r="56" spans="1:22" x14ac:dyDescent="0.25">
      <c r="A56">
        <f t="shared" si="2"/>
        <v>55</v>
      </c>
      <c r="B56">
        <v>17927</v>
      </c>
      <c r="C56" t="s">
        <v>641</v>
      </c>
      <c r="D56" t="s">
        <v>116</v>
      </c>
      <c r="E56" t="s">
        <v>639</v>
      </c>
      <c r="F56">
        <v>16</v>
      </c>
      <c r="G56">
        <v>15</v>
      </c>
      <c r="H56">
        <v>34</v>
      </c>
      <c r="I56">
        <v>44.1</v>
      </c>
      <c r="J56">
        <v>171</v>
      </c>
      <c r="K56">
        <v>5</v>
      </c>
      <c r="L56">
        <v>1</v>
      </c>
      <c r="M56">
        <v>1</v>
      </c>
      <c r="N56">
        <v>57.4</v>
      </c>
      <c r="O56">
        <v>2</v>
      </c>
      <c r="P56">
        <v>9</v>
      </c>
      <c r="Q56">
        <v>4.5</v>
      </c>
      <c r="R56">
        <v>0</v>
      </c>
      <c r="S56">
        <v>0.6</v>
      </c>
      <c r="T56">
        <v>9.74</v>
      </c>
      <c r="U56">
        <v>12.74</v>
      </c>
      <c r="V56">
        <f t="shared" si="1"/>
        <v>-309.09999999999997</v>
      </c>
    </row>
    <row r="57" spans="1:22" x14ac:dyDescent="0.25">
      <c r="A57">
        <f t="shared" si="2"/>
        <v>56</v>
      </c>
      <c r="B57">
        <v>12771</v>
      </c>
      <c r="C57" t="s">
        <v>168</v>
      </c>
      <c r="D57" t="s">
        <v>116</v>
      </c>
      <c r="E57" t="s">
        <v>167</v>
      </c>
      <c r="F57">
        <v>16</v>
      </c>
      <c r="G57">
        <v>15</v>
      </c>
      <c r="H57">
        <v>21</v>
      </c>
      <c r="I57">
        <v>71.400000000000006</v>
      </c>
      <c r="J57">
        <v>160</v>
      </c>
      <c r="K57">
        <v>7.6</v>
      </c>
      <c r="L57">
        <v>1</v>
      </c>
      <c r="M57">
        <v>1</v>
      </c>
      <c r="N57">
        <v>89.4</v>
      </c>
      <c r="O57">
        <v>1</v>
      </c>
      <c r="P57">
        <v>4</v>
      </c>
      <c r="Q57">
        <v>4</v>
      </c>
      <c r="R57">
        <v>0</v>
      </c>
      <c r="S57">
        <v>0.6</v>
      </c>
      <c r="T57">
        <v>8.8000000000000007</v>
      </c>
      <c r="U57">
        <v>11.8</v>
      </c>
      <c r="V57">
        <f t="shared" si="1"/>
        <v>-310.03999999999996</v>
      </c>
    </row>
    <row r="58" spans="1:22" x14ac:dyDescent="0.25">
      <c r="A58">
        <f t="shared" si="2"/>
        <v>57</v>
      </c>
      <c r="B58">
        <v>13103</v>
      </c>
      <c r="C58" t="s">
        <v>405</v>
      </c>
      <c r="D58" t="s">
        <v>116</v>
      </c>
      <c r="E58" t="s">
        <v>404</v>
      </c>
      <c r="F58">
        <v>16</v>
      </c>
      <c r="G58">
        <v>13</v>
      </c>
      <c r="H58">
        <v>15</v>
      </c>
      <c r="I58">
        <v>86.7</v>
      </c>
      <c r="J58">
        <v>125</v>
      </c>
      <c r="K58">
        <v>8.3000000000000007</v>
      </c>
      <c r="L58">
        <v>1</v>
      </c>
      <c r="M58">
        <v>0</v>
      </c>
      <c r="N58">
        <v>123.6</v>
      </c>
      <c r="O58">
        <v>2</v>
      </c>
      <c r="P58">
        <v>2</v>
      </c>
      <c r="Q58">
        <v>1</v>
      </c>
      <c r="R58">
        <v>0</v>
      </c>
      <c r="S58">
        <v>0.6</v>
      </c>
      <c r="T58">
        <v>9.1999999999999993</v>
      </c>
      <c r="U58">
        <v>11.799999999999999</v>
      </c>
      <c r="V58">
        <f t="shared" si="1"/>
        <v>-310.03999999999996</v>
      </c>
    </row>
    <row r="59" spans="1:22" x14ac:dyDescent="0.25">
      <c r="A59">
        <f t="shared" si="2"/>
        <v>58</v>
      </c>
      <c r="B59">
        <v>13723</v>
      </c>
      <c r="C59" t="s">
        <v>413</v>
      </c>
      <c r="D59" t="s">
        <v>116</v>
      </c>
      <c r="E59" t="s">
        <v>411</v>
      </c>
      <c r="F59">
        <v>16</v>
      </c>
      <c r="G59">
        <v>17</v>
      </c>
      <c r="H59">
        <v>18</v>
      </c>
      <c r="I59">
        <v>94.4</v>
      </c>
      <c r="J59">
        <v>200</v>
      </c>
      <c r="K59">
        <v>11.1</v>
      </c>
      <c r="L59">
        <v>0</v>
      </c>
      <c r="M59">
        <v>0</v>
      </c>
      <c r="N59">
        <v>113</v>
      </c>
      <c r="O59">
        <v>3</v>
      </c>
      <c r="P59">
        <v>3</v>
      </c>
      <c r="Q59">
        <v>1</v>
      </c>
      <c r="R59">
        <v>0</v>
      </c>
      <c r="S59">
        <v>0.5</v>
      </c>
      <c r="T59">
        <v>8.3000000000000007</v>
      </c>
      <c r="U59">
        <v>11.700000000000001</v>
      </c>
      <c r="V59">
        <f t="shared" si="1"/>
        <v>-310.14</v>
      </c>
    </row>
    <row r="60" spans="1:22" x14ac:dyDescent="0.25">
      <c r="A60">
        <f t="shared" si="2"/>
        <v>59</v>
      </c>
      <c r="B60">
        <v>14971</v>
      </c>
      <c r="C60" t="s">
        <v>650</v>
      </c>
      <c r="D60" t="s">
        <v>116</v>
      </c>
      <c r="E60" t="s">
        <v>648</v>
      </c>
      <c r="F60">
        <v>16</v>
      </c>
      <c r="G60">
        <v>14</v>
      </c>
      <c r="H60">
        <v>28</v>
      </c>
      <c r="I60">
        <v>50</v>
      </c>
      <c r="J60">
        <v>151</v>
      </c>
      <c r="K60">
        <v>5.4</v>
      </c>
      <c r="L60">
        <v>1</v>
      </c>
      <c r="M60">
        <v>1</v>
      </c>
      <c r="N60">
        <v>63.2</v>
      </c>
      <c r="O60">
        <v>5</v>
      </c>
      <c r="P60">
        <v>5</v>
      </c>
      <c r="Q60">
        <v>1</v>
      </c>
      <c r="R60">
        <v>0</v>
      </c>
      <c r="S60">
        <v>0.5</v>
      </c>
      <c r="T60">
        <v>8.5399999999999991</v>
      </c>
      <c r="U60">
        <v>11.34</v>
      </c>
      <c r="V60">
        <f t="shared" si="1"/>
        <v>-310.5</v>
      </c>
    </row>
    <row r="61" spans="1:22" x14ac:dyDescent="0.25">
      <c r="A61">
        <f t="shared" si="2"/>
        <v>60</v>
      </c>
      <c r="B61">
        <v>16430</v>
      </c>
      <c r="C61" t="s">
        <v>275</v>
      </c>
      <c r="D61" t="s">
        <v>116</v>
      </c>
      <c r="E61" t="s">
        <v>273</v>
      </c>
      <c r="F61">
        <v>16</v>
      </c>
      <c r="G61">
        <v>14</v>
      </c>
      <c r="H61">
        <v>30</v>
      </c>
      <c r="I61">
        <v>46.7</v>
      </c>
      <c r="J61">
        <v>141</v>
      </c>
      <c r="K61">
        <v>4.7</v>
      </c>
      <c r="L61">
        <v>1</v>
      </c>
      <c r="M61">
        <v>1</v>
      </c>
      <c r="N61">
        <v>57.8</v>
      </c>
      <c r="O61">
        <v>4</v>
      </c>
      <c r="P61">
        <v>4</v>
      </c>
      <c r="Q61">
        <v>1</v>
      </c>
      <c r="R61">
        <v>0</v>
      </c>
      <c r="S61">
        <v>0.5</v>
      </c>
      <c r="T61">
        <v>8.0399999999999991</v>
      </c>
      <c r="U61">
        <v>10.840000000000002</v>
      </c>
      <c r="V61">
        <f t="shared" si="1"/>
        <v>-311</v>
      </c>
    </row>
    <row r="62" spans="1:22" x14ac:dyDescent="0.25">
      <c r="A62">
        <f t="shared" si="2"/>
        <v>61</v>
      </c>
      <c r="B62">
        <v>16175</v>
      </c>
      <c r="C62" t="s">
        <v>769</v>
      </c>
      <c r="D62" t="s">
        <v>116</v>
      </c>
      <c r="E62" t="s">
        <v>768</v>
      </c>
      <c r="F62">
        <v>16</v>
      </c>
      <c r="G62">
        <v>13</v>
      </c>
      <c r="H62">
        <v>25</v>
      </c>
      <c r="I62">
        <v>52</v>
      </c>
      <c r="J62">
        <v>126</v>
      </c>
      <c r="K62">
        <v>5</v>
      </c>
      <c r="L62">
        <v>1</v>
      </c>
      <c r="M62">
        <v>1</v>
      </c>
      <c r="N62">
        <v>63.1</v>
      </c>
      <c r="O62">
        <v>11</v>
      </c>
      <c r="P62">
        <v>11</v>
      </c>
      <c r="Q62">
        <v>1</v>
      </c>
      <c r="R62">
        <v>0</v>
      </c>
      <c r="S62">
        <v>0.5</v>
      </c>
      <c r="T62">
        <v>8.14</v>
      </c>
      <c r="U62">
        <v>10.739999999999998</v>
      </c>
      <c r="V62">
        <f t="shared" si="1"/>
        <v>-311.09999999999997</v>
      </c>
    </row>
    <row r="63" spans="1:22" x14ac:dyDescent="0.25">
      <c r="A63">
        <f t="shared" si="2"/>
        <v>62</v>
      </c>
      <c r="B63">
        <v>8769</v>
      </c>
      <c r="C63" t="s">
        <v>649</v>
      </c>
      <c r="D63" t="s">
        <v>116</v>
      </c>
      <c r="E63" t="s">
        <v>648</v>
      </c>
      <c r="F63">
        <v>16</v>
      </c>
      <c r="G63">
        <v>10</v>
      </c>
      <c r="H63">
        <v>16</v>
      </c>
      <c r="I63">
        <v>62.5</v>
      </c>
      <c r="J63">
        <v>112</v>
      </c>
      <c r="K63">
        <v>7</v>
      </c>
      <c r="L63">
        <v>1</v>
      </c>
      <c r="M63">
        <v>0</v>
      </c>
      <c r="N63">
        <v>104.2</v>
      </c>
      <c r="O63">
        <v>0.5</v>
      </c>
      <c r="P63">
        <v>2</v>
      </c>
      <c r="Q63">
        <v>0</v>
      </c>
      <c r="R63">
        <v>0</v>
      </c>
      <c r="S63">
        <v>0.5</v>
      </c>
      <c r="T63">
        <v>8.68</v>
      </c>
      <c r="U63">
        <v>10.68</v>
      </c>
      <c r="V63">
        <f t="shared" si="1"/>
        <v>-311.15999999999997</v>
      </c>
    </row>
    <row r="64" spans="1:22" x14ac:dyDescent="0.25">
      <c r="A64">
        <f t="shared" si="2"/>
        <v>63</v>
      </c>
      <c r="B64">
        <v>16300</v>
      </c>
      <c r="C64" t="s">
        <v>412</v>
      </c>
      <c r="D64" t="s">
        <v>116</v>
      </c>
      <c r="E64" t="s">
        <v>411</v>
      </c>
      <c r="F64">
        <v>16</v>
      </c>
      <c r="G64">
        <v>9</v>
      </c>
      <c r="H64">
        <v>20</v>
      </c>
      <c r="I64">
        <v>45</v>
      </c>
      <c r="J64">
        <v>97</v>
      </c>
      <c r="K64">
        <v>4.8</v>
      </c>
      <c r="L64">
        <v>1</v>
      </c>
      <c r="M64">
        <v>0</v>
      </c>
      <c r="N64">
        <v>76.5</v>
      </c>
      <c r="O64">
        <v>5</v>
      </c>
      <c r="P64">
        <v>5</v>
      </c>
      <c r="Q64">
        <v>1</v>
      </c>
      <c r="R64">
        <v>0</v>
      </c>
      <c r="S64">
        <v>0.5</v>
      </c>
      <c r="T64">
        <v>8.3800000000000008</v>
      </c>
      <c r="U64">
        <v>10.18</v>
      </c>
      <c r="V64">
        <f t="shared" si="1"/>
        <v>-311.65999999999997</v>
      </c>
    </row>
    <row r="65" spans="1:22" x14ac:dyDescent="0.25">
      <c r="A65">
        <f t="shared" si="2"/>
        <v>64</v>
      </c>
      <c r="B65">
        <v>2405</v>
      </c>
      <c r="C65" t="s">
        <v>409</v>
      </c>
      <c r="D65" t="s">
        <v>116</v>
      </c>
      <c r="E65" t="s">
        <v>408</v>
      </c>
      <c r="F65">
        <v>16</v>
      </c>
      <c r="G65">
        <v>11</v>
      </c>
      <c r="H65">
        <v>18</v>
      </c>
      <c r="I65">
        <v>61.1</v>
      </c>
      <c r="J65">
        <v>123</v>
      </c>
      <c r="K65">
        <v>6.8</v>
      </c>
      <c r="L65">
        <v>1</v>
      </c>
      <c r="M65">
        <v>1</v>
      </c>
      <c r="N65">
        <v>76.900000000000006</v>
      </c>
      <c r="O65">
        <v>6</v>
      </c>
      <c r="P65">
        <v>6</v>
      </c>
      <c r="Q65">
        <v>1</v>
      </c>
      <c r="R65">
        <v>0</v>
      </c>
      <c r="S65">
        <v>0.5</v>
      </c>
      <c r="T65">
        <v>7.52</v>
      </c>
      <c r="U65">
        <v>9.7200000000000006</v>
      </c>
      <c r="V65">
        <f t="shared" si="1"/>
        <v>-312.11999999999995</v>
      </c>
    </row>
    <row r="66" spans="1:22" x14ac:dyDescent="0.25">
      <c r="A66">
        <f t="shared" ref="A66:A97" si="3">_xlfn.RANK.AVG(U66,$U$2:$U$104,0)</f>
        <v>65</v>
      </c>
      <c r="B66">
        <v>18055</v>
      </c>
      <c r="C66" t="s">
        <v>290</v>
      </c>
      <c r="D66" t="s">
        <v>116</v>
      </c>
      <c r="E66" t="s">
        <v>288</v>
      </c>
      <c r="F66">
        <v>16</v>
      </c>
      <c r="G66">
        <v>8</v>
      </c>
      <c r="H66">
        <v>17</v>
      </c>
      <c r="I66">
        <v>47.1</v>
      </c>
      <c r="J66">
        <v>92</v>
      </c>
      <c r="K66">
        <v>5.4</v>
      </c>
      <c r="L66">
        <v>1</v>
      </c>
      <c r="M66">
        <v>0</v>
      </c>
      <c r="N66">
        <v>83.5</v>
      </c>
      <c r="O66">
        <v>0</v>
      </c>
      <c r="P66">
        <v>0</v>
      </c>
      <c r="Q66">
        <v>0</v>
      </c>
      <c r="R66">
        <v>0</v>
      </c>
      <c r="S66">
        <v>0.5</v>
      </c>
      <c r="T66">
        <v>7.68</v>
      </c>
      <c r="U66">
        <v>9.2799999999999994</v>
      </c>
      <c r="V66">
        <f t="shared" si="1"/>
        <v>-312.56</v>
      </c>
    </row>
    <row r="67" spans="1:22" x14ac:dyDescent="0.25">
      <c r="A67">
        <f t="shared" si="3"/>
        <v>66</v>
      </c>
      <c r="B67">
        <v>12083</v>
      </c>
      <c r="C67" t="s">
        <v>177</v>
      </c>
      <c r="D67" t="s">
        <v>116</v>
      </c>
      <c r="E67" t="s">
        <v>176</v>
      </c>
      <c r="F67">
        <v>16</v>
      </c>
      <c r="G67">
        <v>7</v>
      </c>
      <c r="H67">
        <v>13</v>
      </c>
      <c r="I67">
        <v>53.8</v>
      </c>
      <c r="J67">
        <v>81</v>
      </c>
      <c r="K67">
        <v>6.2</v>
      </c>
      <c r="L67">
        <v>1</v>
      </c>
      <c r="M67">
        <v>0</v>
      </c>
      <c r="N67">
        <v>98.6</v>
      </c>
      <c r="O67">
        <v>2</v>
      </c>
      <c r="P67">
        <v>2</v>
      </c>
      <c r="Q67">
        <v>1</v>
      </c>
      <c r="R67">
        <v>0</v>
      </c>
      <c r="S67">
        <v>0.5</v>
      </c>
      <c r="T67">
        <v>7.44</v>
      </c>
      <c r="U67">
        <v>8.84</v>
      </c>
      <c r="V67">
        <f t="shared" ref="V67:V104" si="4">U67-$X$1</f>
        <v>-313</v>
      </c>
    </row>
    <row r="68" spans="1:22" x14ac:dyDescent="0.25">
      <c r="A68">
        <f t="shared" si="3"/>
        <v>67</v>
      </c>
      <c r="B68">
        <v>5054</v>
      </c>
      <c r="C68" t="s">
        <v>770</v>
      </c>
      <c r="D68" t="s">
        <v>116</v>
      </c>
      <c r="E68" t="s">
        <v>768</v>
      </c>
      <c r="F68">
        <v>16</v>
      </c>
      <c r="G68">
        <v>7</v>
      </c>
      <c r="H68">
        <v>11</v>
      </c>
      <c r="I68">
        <v>63.6</v>
      </c>
      <c r="J68">
        <v>84</v>
      </c>
      <c r="K68">
        <v>7.6</v>
      </c>
      <c r="L68">
        <v>1</v>
      </c>
      <c r="M68">
        <v>0</v>
      </c>
      <c r="N68">
        <v>117.2</v>
      </c>
      <c r="O68">
        <v>0</v>
      </c>
      <c r="P68">
        <v>0</v>
      </c>
      <c r="Q68">
        <v>0</v>
      </c>
      <c r="R68">
        <v>0</v>
      </c>
      <c r="S68">
        <v>0.5</v>
      </c>
      <c r="T68">
        <v>7.36</v>
      </c>
      <c r="U68">
        <v>8.76</v>
      </c>
      <c r="V68">
        <f t="shared" si="4"/>
        <v>-313.08</v>
      </c>
    </row>
    <row r="69" spans="1:22" x14ac:dyDescent="0.25">
      <c r="A69">
        <f t="shared" si="3"/>
        <v>68</v>
      </c>
      <c r="B69">
        <v>15093</v>
      </c>
      <c r="C69" t="s">
        <v>636</v>
      </c>
      <c r="D69" t="s">
        <v>116</v>
      </c>
      <c r="E69" t="s">
        <v>635</v>
      </c>
      <c r="F69">
        <v>16</v>
      </c>
      <c r="G69">
        <v>6</v>
      </c>
      <c r="H69">
        <v>9</v>
      </c>
      <c r="I69">
        <v>66.7</v>
      </c>
      <c r="J69">
        <v>68</v>
      </c>
      <c r="K69">
        <v>7.6</v>
      </c>
      <c r="L69">
        <v>1</v>
      </c>
      <c r="M69">
        <v>0</v>
      </c>
      <c r="N69">
        <v>126.2</v>
      </c>
      <c r="O69">
        <v>1</v>
      </c>
      <c r="P69">
        <v>1</v>
      </c>
      <c r="Q69">
        <v>1</v>
      </c>
      <c r="R69">
        <v>0</v>
      </c>
      <c r="S69">
        <v>0.4</v>
      </c>
      <c r="T69">
        <v>6.82</v>
      </c>
      <c r="U69">
        <v>8.0200000000000014</v>
      </c>
      <c r="V69">
        <f t="shared" si="4"/>
        <v>-313.82</v>
      </c>
    </row>
    <row r="70" spans="1:22" x14ac:dyDescent="0.25">
      <c r="A70">
        <f t="shared" si="3"/>
        <v>69</v>
      </c>
      <c r="B70">
        <v>4633</v>
      </c>
      <c r="C70" t="s">
        <v>163</v>
      </c>
      <c r="D70" t="s">
        <v>116</v>
      </c>
      <c r="E70" t="s">
        <v>162</v>
      </c>
      <c r="F70">
        <v>16</v>
      </c>
      <c r="G70">
        <v>7</v>
      </c>
      <c r="H70">
        <v>10</v>
      </c>
      <c r="I70">
        <v>70</v>
      </c>
      <c r="J70">
        <v>68</v>
      </c>
      <c r="K70">
        <v>6.8</v>
      </c>
      <c r="L70">
        <v>0</v>
      </c>
      <c r="M70">
        <v>0</v>
      </c>
      <c r="N70">
        <v>88.8</v>
      </c>
      <c r="O70">
        <v>0.3</v>
      </c>
      <c r="P70">
        <v>1</v>
      </c>
      <c r="Q70">
        <v>0</v>
      </c>
      <c r="R70">
        <v>0</v>
      </c>
      <c r="S70">
        <v>0.2</v>
      </c>
      <c r="T70">
        <v>2.82</v>
      </c>
      <c r="U70">
        <v>4.22</v>
      </c>
      <c r="V70">
        <f t="shared" si="4"/>
        <v>-317.61999999999995</v>
      </c>
    </row>
    <row r="71" spans="1:22" x14ac:dyDescent="0.25">
      <c r="A71">
        <f t="shared" si="3"/>
        <v>70</v>
      </c>
      <c r="B71">
        <v>14404</v>
      </c>
      <c r="C71" t="s">
        <v>286</v>
      </c>
      <c r="D71" t="s">
        <v>116</v>
      </c>
      <c r="E71" t="s">
        <v>283</v>
      </c>
      <c r="F71">
        <v>16</v>
      </c>
      <c r="G71">
        <v>2</v>
      </c>
      <c r="H71">
        <v>5</v>
      </c>
      <c r="I71">
        <v>40</v>
      </c>
      <c r="J71">
        <v>62</v>
      </c>
      <c r="K71">
        <v>12.4</v>
      </c>
      <c r="L71">
        <v>0</v>
      </c>
      <c r="M71">
        <v>0</v>
      </c>
      <c r="N71">
        <v>87.1</v>
      </c>
      <c r="O71">
        <v>1</v>
      </c>
      <c r="P71">
        <v>4</v>
      </c>
      <c r="Q71">
        <v>4</v>
      </c>
      <c r="R71">
        <v>0</v>
      </c>
      <c r="S71">
        <v>0.2</v>
      </c>
      <c r="T71">
        <v>2.88</v>
      </c>
      <c r="U71">
        <v>3.28</v>
      </c>
      <c r="V71">
        <f t="shared" si="4"/>
        <v>-318.56</v>
      </c>
    </row>
    <row r="72" spans="1:22" x14ac:dyDescent="0.25">
      <c r="A72">
        <f t="shared" si="3"/>
        <v>71</v>
      </c>
      <c r="B72">
        <v>5834</v>
      </c>
      <c r="C72" t="s">
        <v>422</v>
      </c>
      <c r="D72" t="s">
        <v>116</v>
      </c>
      <c r="E72" t="s">
        <v>421</v>
      </c>
      <c r="F72">
        <v>16</v>
      </c>
      <c r="G72">
        <v>5</v>
      </c>
      <c r="H72">
        <v>8</v>
      </c>
      <c r="I72">
        <v>62.5</v>
      </c>
      <c r="J72">
        <v>55</v>
      </c>
      <c r="K72">
        <v>6.9</v>
      </c>
      <c r="L72">
        <v>0</v>
      </c>
      <c r="M72">
        <v>0</v>
      </c>
      <c r="N72">
        <v>82.8</v>
      </c>
      <c r="O72">
        <v>0</v>
      </c>
      <c r="P72">
        <v>0</v>
      </c>
      <c r="Q72">
        <v>0</v>
      </c>
      <c r="R72">
        <v>0</v>
      </c>
      <c r="S72">
        <v>0.1</v>
      </c>
      <c r="T72">
        <v>2.2000000000000002</v>
      </c>
      <c r="U72">
        <v>3.2</v>
      </c>
      <c r="V72">
        <f t="shared" si="4"/>
        <v>-318.64</v>
      </c>
    </row>
    <row r="73" spans="1:22" x14ac:dyDescent="0.25">
      <c r="A73">
        <f t="shared" si="3"/>
        <v>72</v>
      </c>
      <c r="B73">
        <v>16907</v>
      </c>
      <c r="C73" t="s">
        <v>398</v>
      </c>
      <c r="D73" t="s">
        <v>116</v>
      </c>
      <c r="E73" t="s">
        <v>397</v>
      </c>
      <c r="F73">
        <v>16</v>
      </c>
      <c r="G73">
        <v>4</v>
      </c>
      <c r="H73">
        <v>6</v>
      </c>
      <c r="I73">
        <v>66.7</v>
      </c>
      <c r="J73">
        <v>39</v>
      </c>
      <c r="K73">
        <v>6.5</v>
      </c>
      <c r="L73">
        <v>0</v>
      </c>
      <c r="M73">
        <v>0</v>
      </c>
      <c r="N73">
        <v>84.7</v>
      </c>
      <c r="O73">
        <v>0</v>
      </c>
      <c r="P73">
        <v>0</v>
      </c>
      <c r="Q73">
        <v>0</v>
      </c>
      <c r="R73">
        <v>0</v>
      </c>
      <c r="S73">
        <v>0.1</v>
      </c>
      <c r="T73">
        <v>1.56</v>
      </c>
      <c r="U73">
        <v>2.3600000000000003</v>
      </c>
      <c r="V73">
        <f t="shared" si="4"/>
        <v>-319.47999999999996</v>
      </c>
    </row>
    <row r="74" spans="1:22" x14ac:dyDescent="0.25">
      <c r="A74">
        <f t="shared" si="3"/>
        <v>73</v>
      </c>
      <c r="B74">
        <v>6276</v>
      </c>
      <c r="C74" t="s">
        <v>632</v>
      </c>
      <c r="D74" t="s">
        <v>116</v>
      </c>
      <c r="E74" t="s">
        <v>631</v>
      </c>
      <c r="F74">
        <v>16</v>
      </c>
      <c r="G74">
        <v>3</v>
      </c>
      <c r="H74">
        <v>7</v>
      </c>
      <c r="I74">
        <v>42.9</v>
      </c>
      <c r="J74">
        <v>35</v>
      </c>
      <c r="K74">
        <v>5</v>
      </c>
      <c r="L74">
        <v>0</v>
      </c>
      <c r="M74">
        <v>0</v>
      </c>
      <c r="N74">
        <v>58.6</v>
      </c>
      <c r="O74">
        <v>1</v>
      </c>
      <c r="P74">
        <v>1</v>
      </c>
      <c r="Q74">
        <v>1</v>
      </c>
      <c r="R74">
        <v>0</v>
      </c>
      <c r="S74">
        <v>0.1</v>
      </c>
      <c r="T74">
        <v>1.5</v>
      </c>
      <c r="U74">
        <v>2.1</v>
      </c>
      <c r="V74">
        <f t="shared" si="4"/>
        <v>-319.73999999999995</v>
      </c>
    </row>
    <row r="75" spans="1:22" x14ac:dyDescent="0.25">
      <c r="A75">
        <f t="shared" si="3"/>
        <v>74</v>
      </c>
      <c r="B75">
        <v>18018</v>
      </c>
      <c r="C75" t="s">
        <v>432</v>
      </c>
      <c r="D75" t="s">
        <v>116</v>
      </c>
      <c r="E75" t="s">
        <v>430</v>
      </c>
      <c r="F75">
        <v>16</v>
      </c>
      <c r="G75">
        <v>1</v>
      </c>
      <c r="H75">
        <v>2</v>
      </c>
      <c r="I75">
        <v>50</v>
      </c>
      <c r="J75">
        <v>20</v>
      </c>
      <c r="K75">
        <v>10</v>
      </c>
      <c r="L75">
        <v>0</v>
      </c>
      <c r="M75">
        <v>0</v>
      </c>
      <c r="N75">
        <v>85.4</v>
      </c>
      <c r="O75">
        <v>0</v>
      </c>
      <c r="P75">
        <v>0</v>
      </c>
      <c r="Q75">
        <v>0</v>
      </c>
      <c r="R75">
        <v>0</v>
      </c>
      <c r="S75">
        <v>0</v>
      </c>
      <c r="T75">
        <v>0.8</v>
      </c>
      <c r="U75">
        <v>1</v>
      </c>
      <c r="V75">
        <f t="shared" si="4"/>
        <v>-320.83999999999997</v>
      </c>
    </row>
    <row r="76" spans="1:22" x14ac:dyDescent="0.25">
      <c r="A76">
        <f t="shared" si="3"/>
        <v>75</v>
      </c>
      <c r="B76">
        <v>15293</v>
      </c>
      <c r="C76" t="s">
        <v>414</v>
      </c>
      <c r="D76" t="s">
        <v>116</v>
      </c>
      <c r="E76" t="s">
        <v>411</v>
      </c>
      <c r="F76">
        <v>16</v>
      </c>
      <c r="G76">
        <v>1</v>
      </c>
      <c r="H76">
        <v>2</v>
      </c>
      <c r="I76">
        <v>50</v>
      </c>
      <c r="J76">
        <v>14</v>
      </c>
      <c r="K76">
        <v>7</v>
      </c>
      <c r="L76">
        <v>0</v>
      </c>
      <c r="M76">
        <v>0</v>
      </c>
      <c r="N76">
        <v>72.900000000000006</v>
      </c>
      <c r="O76">
        <v>0</v>
      </c>
      <c r="P76">
        <v>0</v>
      </c>
      <c r="Q76">
        <v>0</v>
      </c>
      <c r="R76">
        <v>0</v>
      </c>
      <c r="S76">
        <v>0</v>
      </c>
      <c r="T76">
        <v>0.56000000000000005</v>
      </c>
      <c r="U76">
        <v>0.76</v>
      </c>
      <c r="V76">
        <f t="shared" si="4"/>
        <v>-321.08</v>
      </c>
    </row>
    <row r="77" spans="1:22" x14ac:dyDescent="0.25">
      <c r="A77">
        <f t="shared" si="3"/>
        <v>76</v>
      </c>
      <c r="B77">
        <v>16864</v>
      </c>
      <c r="C77" t="s">
        <v>642</v>
      </c>
      <c r="D77" t="s">
        <v>116</v>
      </c>
      <c r="E77" t="s">
        <v>639</v>
      </c>
      <c r="F77">
        <v>16</v>
      </c>
      <c r="G77">
        <v>0</v>
      </c>
      <c r="H77">
        <v>0</v>
      </c>
      <c r="I77">
        <v>0</v>
      </c>
      <c r="J77">
        <v>1</v>
      </c>
      <c r="K77">
        <v>0</v>
      </c>
      <c r="L77">
        <v>0</v>
      </c>
      <c r="M77">
        <v>0</v>
      </c>
      <c r="N77">
        <v>0</v>
      </c>
      <c r="O77">
        <v>4</v>
      </c>
      <c r="P77">
        <v>4</v>
      </c>
      <c r="Q77">
        <v>1</v>
      </c>
      <c r="R77">
        <v>0</v>
      </c>
      <c r="S77">
        <v>0</v>
      </c>
      <c r="T77">
        <v>0.44</v>
      </c>
      <c r="U77">
        <v>0.44</v>
      </c>
      <c r="V77">
        <f t="shared" si="4"/>
        <v>-321.39999999999998</v>
      </c>
    </row>
    <row r="78" spans="1:22" x14ac:dyDescent="0.25">
      <c r="A78">
        <f t="shared" si="3"/>
        <v>77</v>
      </c>
      <c r="B78">
        <v>16211</v>
      </c>
      <c r="C78" t="s">
        <v>402</v>
      </c>
      <c r="D78" t="s">
        <v>116</v>
      </c>
      <c r="E78" t="s">
        <v>400</v>
      </c>
      <c r="F78">
        <v>16</v>
      </c>
      <c r="G78">
        <v>0</v>
      </c>
      <c r="H78">
        <v>2</v>
      </c>
      <c r="I78">
        <v>0</v>
      </c>
      <c r="J78">
        <v>10</v>
      </c>
      <c r="K78">
        <v>5</v>
      </c>
      <c r="L78">
        <v>0</v>
      </c>
      <c r="M78">
        <v>0</v>
      </c>
      <c r="N78">
        <v>47.9</v>
      </c>
      <c r="O78">
        <v>0</v>
      </c>
      <c r="P78">
        <v>0</v>
      </c>
      <c r="Q78">
        <v>0</v>
      </c>
      <c r="R78">
        <v>0</v>
      </c>
      <c r="S78">
        <v>0</v>
      </c>
      <c r="T78">
        <v>0.4</v>
      </c>
      <c r="U78">
        <v>0.4</v>
      </c>
      <c r="V78">
        <f t="shared" si="4"/>
        <v>-321.44</v>
      </c>
    </row>
    <row r="79" spans="1:22" x14ac:dyDescent="0.25">
      <c r="A79">
        <f t="shared" si="3"/>
        <v>78</v>
      </c>
      <c r="B79">
        <v>15182</v>
      </c>
      <c r="C79" t="s">
        <v>164</v>
      </c>
      <c r="D79" t="s">
        <v>116</v>
      </c>
      <c r="E79" t="s">
        <v>162</v>
      </c>
      <c r="F79">
        <v>16</v>
      </c>
      <c r="G79">
        <v>0</v>
      </c>
      <c r="H79">
        <v>0</v>
      </c>
      <c r="I79">
        <v>0</v>
      </c>
      <c r="J79">
        <v>1</v>
      </c>
      <c r="K79">
        <v>0</v>
      </c>
      <c r="L79">
        <v>0</v>
      </c>
      <c r="M79">
        <v>0</v>
      </c>
      <c r="N79">
        <v>0</v>
      </c>
      <c r="O79">
        <v>0</v>
      </c>
      <c r="P79">
        <v>0</v>
      </c>
      <c r="Q79">
        <v>0</v>
      </c>
      <c r="R79">
        <v>0</v>
      </c>
      <c r="S79">
        <v>0</v>
      </c>
      <c r="T79">
        <v>0.04</v>
      </c>
      <c r="U79">
        <v>0.04</v>
      </c>
      <c r="V79">
        <f t="shared" si="4"/>
        <v>-321.79999999999995</v>
      </c>
    </row>
    <row r="80" spans="1:22" x14ac:dyDescent="0.25">
      <c r="A80">
        <f t="shared" si="3"/>
        <v>91</v>
      </c>
      <c r="B80">
        <v>14855</v>
      </c>
      <c r="C80" t="s">
        <v>137</v>
      </c>
      <c r="D80" t="s">
        <v>116</v>
      </c>
      <c r="E80" t="s">
        <v>135</v>
      </c>
      <c r="F80">
        <v>16</v>
      </c>
      <c r="G80">
        <v>0</v>
      </c>
      <c r="H80">
        <v>0</v>
      </c>
      <c r="I80">
        <v>0</v>
      </c>
      <c r="J80">
        <v>0</v>
      </c>
      <c r="K80">
        <v>0</v>
      </c>
      <c r="L80">
        <v>0</v>
      </c>
      <c r="M80">
        <v>0</v>
      </c>
      <c r="N80">
        <v>0</v>
      </c>
      <c r="O80">
        <v>0</v>
      </c>
      <c r="P80">
        <v>0</v>
      </c>
      <c r="Q80">
        <v>0</v>
      </c>
      <c r="R80">
        <v>0</v>
      </c>
      <c r="S80">
        <v>0</v>
      </c>
      <c r="T80">
        <v>0</v>
      </c>
      <c r="U80">
        <v>0</v>
      </c>
      <c r="V80">
        <f t="shared" si="4"/>
        <v>-321.83999999999997</v>
      </c>
    </row>
    <row r="81" spans="1:22" x14ac:dyDescent="0.25">
      <c r="A81">
        <f t="shared" si="3"/>
        <v>91</v>
      </c>
      <c r="B81">
        <v>15982</v>
      </c>
      <c r="C81" t="s">
        <v>165</v>
      </c>
      <c r="D81" t="s">
        <v>116</v>
      </c>
      <c r="E81" t="s">
        <v>162</v>
      </c>
      <c r="F81">
        <v>16</v>
      </c>
      <c r="G81">
        <v>0</v>
      </c>
      <c r="H81">
        <v>0</v>
      </c>
      <c r="I81">
        <v>0</v>
      </c>
      <c r="J81">
        <v>0</v>
      </c>
      <c r="K81">
        <v>0</v>
      </c>
      <c r="L81">
        <v>0</v>
      </c>
      <c r="M81">
        <v>0</v>
      </c>
      <c r="N81">
        <v>0</v>
      </c>
      <c r="O81">
        <v>0</v>
      </c>
      <c r="P81">
        <v>0</v>
      </c>
      <c r="Q81">
        <v>0</v>
      </c>
      <c r="R81">
        <v>0</v>
      </c>
      <c r="S81">
        <v>0</v>
      </c>
      <c r="T81">
        <v>0</v>
      </c>
      <c r="U81">
        <v>0</v>
      </c>
      <c r="V81">
        <f t="shared" si="4"/>
        <v>-321.83999999999997</v>
      </c>
    </row>
    <row r="82" spans="1:22" x14ac:dyDescent="0.25">
      <c r="A82">
        <f t="shared" si="3"/>
        <v>91</v>
      </c>
      <c r="B82">
        <v>6489</v>
      </c>
      <c r="C82" t="s">
        <v>169</v>
      </c>
      <c r="D82" t="s">
        <v>116</v>
      </c>
      <c r="E82" t="s">
        <v>167</v>
      </c>
      <c r="F82">
        <v>16</v>
      </c>
      <c r="G82">
        <v>0</v>
      </c>
      <c r="H82">
        <v>0</v>
      </c>
      <c r="I82">
        <v>0</v>
      </c>
      <c r="J82">
        <v>0</v>
      </c>
      <c r="K82">
        <v>0</v>
      </c>
      <c r="L82">
        <v>0</v>
      </c>
      <c r="M82">
        <v>0</v>
      </c>
      <c r="N82">
        <v>0</v>
      </c>
      <c r="O82">
        <v>0</v>
      </c>
      <c r="P82">
        <v>0</v>
      </c>
      <c r="Q82">
        <v>0</v>
      </c>
      <c r="R82">
        <v>0</v>
      </c>
      <c r="S82">
        <v>0</v>
      </c>
      <c r="T82">
        <v>0</v>
      </c>
      <c r="U82">
        <v>0</v>
      </c>
      <c r="V82">
        <f t="shared" si="4"/>
        <v>-321.83999999999997</v>
      </c>
    </row>
    <row r="83" spans="1:22" x14ac:dyDescent="0.25">
      <c r="A83">
        <f t="shared" si="3"/>
        <v>91</v>
      </c>
      <c r="B83">
        <v>17857</v>
      </c>
      <c r="C83" t="s">
        <v>170</v>
      </c>
      <c r="D83" t="s">
        <v>116</v>
      </c>
      <c r="E83" t="s">
        <v>167</v>
      </c>
      <c r="F83">
        <v>16</v>
      </c>
      <c r="G83">
        <v>0</v>
      </c>
      <c r="H83">
        <v>0</v>
      </c>
      <c r="I83">
        <v>0</v>
      </c>
      <c r="J83">
        <v>0</v>
      </c>
      <c r="K83">
        <v>0</v>
      </c>
      <c r="L83">
        <v>0</v>
      </c>
      <c r="M83">
        <v>0</v>
      </c>
      <c r="N83">
        <v>0</v>
      </c>
      <c r="O83">
        <v>0</v>
      </c>
      <c r="P83">
        <v>0</v>
      </c>
      <c r="Q83">
        <v>0</v>
      </c>
      <c r="R83">
        <v>0</v>
      </c>
      <c r="S83">
        <v>0</v>
      </c>
      <c r="T83">
        <v>0</v>
      </c>
      <c r="U83">
        <v>0</v>
      </c>
      <c r="V83">
        <f t="shared" si="4"/>
        <v>-321.83999999999997</v>
      </c>
    </row>
    <row r="84" spans="1:22" x14ac:dyDescent="0.25">
      <c r="A84">
        <f t="shared" si="3"/>
        <v>91</v>
      </c>
      <c r="B84">
        <v>17971</v>
      </c>
      <c r="C84" t="s">
        <v>174</v>
      </c>
      <c r="D84" t="s">
        <v>116</v>
      </c>
      <c r="E84" t="s">
        <v>172</v>
      </c>
      <c r="F84">
        <v>16</v>
      </c>
      <c r="G84">
        <v>0</v>
      </c>
      <c r="H84">
        <v>0</v>
      </c>
      <c r="I84">
        <v>0</v>
      </c>
      <c r="J84">
        <v>0</v>
      </c>
      <c r="K84">
        <v>0</v>
      </c>
      <c r="L84">
        <v>0</v>
      </c>
      <c r="M84">
        <v>0</v>
      </c>
      <c r="N84">
        <v>0</v>
      </c>
      <c r="O84">
        <v>0</v>
      </c>
      <c r="P84">
        <v>0</v>
      </c>
      <c r="Q84">
        <v>0</v>
      </c>
      <c r="R84">
        <v>0</v>
      </c>
      <c r="S84">
        <v>0</v>
      </c>
      <c r="T84">
        <v>0</v>
      </c>
      <c r="U84">
        <v>0</v>
      </c>
      <c r="V84">
        <f t="shared" si="4"/>
        <v>-321.83999999999997</v>
      </c>
    </row>
    <row r="85" spans="1:22" x14ac:dyDescent="0.25">
      <c r="A85">
        <f t="shared" si="3"/>
        <v>91</v>
      </c>
      <c r="B85">
        <v>11422</v>
      </c>
      <c r="C85" t="s">
        <v>178</v>
      </c>
      <c r="D85" t="s">
        <v>116</v>
      </c>
      <c r="E85" t="s">
        <v>176</v>
      </c>
      <c r="F85">
        <v>16</v>
      </c>
      <c r="G85">
        <v>0</v>
      </c>
      <c r="H85">
        <v>0</v>
      </c>
      <c r="I85">
        <v>0</v>
      </c>
      <c r="J85">
        <v>0</v>
      </c>
      <c r="K85">
        <v>0</v>
      </c>
      <c r="L85">
        <v>0</v>
      </c>
      <c r="M85">
        <v>0</v>
      </c>
      <c r="N85">
        <v>0</v>
      </c>
      <c r="O85">
        <v>0</v>
      </c>
      <c r="P85">
        <v>0</v>
      </c>
      <c r="Q85">
        <v>0</v>
      </c>
      <c r="R85">
        <v>0</v>
      </c>
      <c r="S85">
        <v>0</v>
      </c>
      <c r="T85">
        <v>0</v>
      </c>
      <c r="U85">
        <v>0</v>
      </c>
      <c r="V85">
        <f t="shared" si="4"/>
        <v>-321.83999999999997</v>
      </c>
    </row>
    <row r="86" spans="1:22" x14ac:dyDescent="0.25">
      <c r="A86">
        <f t="shared" si="3"/>
        <v>91</v>
      </c>
      <c r="B86">
        <v>15695</v>
      </c>
      <c r="C86" t="s">
        <v>276</v>
      </c>
      <c r="D86" t="s">
        <v>116</v>
      </c>
      <c r="E86" t="s">
        <v>273</v>
      </c>
      <c r="F86">
        <v>16</v>
      </c>
      <c r="G86">
        <v>0</v>
      </c>
      <c r="H86">
        <v>0</v>
      </c>
      <c r="I86">
        <v>0</v>
      </c>
      <c r="J86">
        <v>0</v>
      </c>
      <c r="K86">
        <v>0</v>
      </c>
      <c r="L86">
        <v>0</v>
      </c>
      <c r="M86">
        <v>0</v>
      </c>
      <c r="N86">
        <v>0</v>
      </c>
      <c r="O86">
        <v>0</v>
      </c>
      <c r="P86">
        <v>0</v>
      </c>
      <c r="Q86">
        <v>0</v>
      </c>
      <c r="R86">
        <v>0</v>
      </c>
      <c r="S86">
        <v>0</v>
      </c>
      <c r="T86">
        <v>0</v>
      </c>
      <c r="U86">
        <v>0</v>
      </c>
      <c r="V86">
        <f t="shared" si="4"/>
        <v>-321.83999999999997</v>
      </c>
    </row>
    <row r="87" spans="1:22" x14ac:dyDescent="0.25">
      <c r="A87">
        <f t="shared" si="3"/>
        <v>91</v>
      </c>
      <c r="B87">
        <v>15235</v>
      </c>
      <c r="C87" t="s">
        <v>277</v>
      </c>
      <c r="D87" t="s">
        <v>116</v>
      </c>
      <c r="E87" t="s">
        <v>273</v>
      </c>
      <c r="F87">
        <v>16</v>
      </c>
      <c r="G87">
        <v>0</v>
      </c>
      <c r="H87">
        <v>0</v>
      </c>
      <c r="I87">
        <v>0</v>
      </c>
      <c r="J87">
        <v>0</v>
      </c>
      <c r="K87">
        <v>0</v>
      </c>
      <c r="L87">
        <v>0</v>
      </c>
      <c r="M87">
        <v>0</v>
      </c>
      <c r="N87">
        <v>0</v>
      </c>
      <c r="O87">
        <v>0</v>
      </c>
      <c r="P87">
        <v>0</v>
      </c>
      <c r="Q87">
        <v>0</v>
      </c>
      <c r="R87">
        <v>0</v>
      </c>
      <c r="S87">
        <v>0</v>
      </c>
      <c r="T87">
        <v>0</v>
      </c>
      <c r="U87">
        <v>0</v>
      </c>
      <c r="V87">
        <f t="shared" si="4"/>
        <v>-321.83999999999997</v>
      </c>
    </row>
    <row r="88" spans="1:22" x14ac:dyDescent="0.25">
      <c r="A88">
        <f t="shared" si="3"/>
        <v>91</v>
      </c>
      <c r="B88">
        <v>16103</v>
      </c>
      <c r="C88" t="s">
        <v>281</v>
      </c>
      <c r="D88" t="s">
        <v>116</v>
      </c>
      <c r="E88" t="s">
        <v>279</v>
      </c>
      <c r="F88">
        <v>16</v>
      </c>
      <c r="G88">
        <v>0</v>
      </c>
      <c r="H88">
        <v>0</v>
      </c>
      <c r="I88">
        <v>0</v>
      </c>
      <c r="J88">
        <v>0</v>
      </c>
      <c r="K88">
        <v>0</v>
      </c>
      <c r="L88">
        <v>0</v>
      </c>
      <c r="M88">
        <v>0</v>
      </c>
      <c r="N88">
        <v>0</v>
      </c>
      <c r="O88">
        <v>0</v>
      </c>
      <c r="P88">
        <v>0</v>
      </c>
      <c r="Q88">
        <v>0</v>
      </c>
      <c r="R88">
        <v>0</v>
      </c>
      <c r="S88">
        <v>0</v>
      </c>
      <c r="T88">
        <v>0</v>
      </c>
      <c r="U88">
        <v>0</v>
      </c>
      <c r="V88">
        <f t="shared" si="4"/>
        <v>-321.83999999999997</v>
      </c>
    </row>
    <row r="89" spans="1:22" x14ac:dyDescent="0.25">
      <c r="A89">
        <f t="shared" si="3"/>
        <v>91</v>
      </c>
      <c r="B89">
        <v>18108</v>
      </c>
      <c r="C89" t="s">
        <v>395</v>
      </c>
      <c r="D89" t="s">
        <v>116</v>
      </c>
      <c r="E89" t="s">
        <v>393</v>
      </c>
      <c r="F89">
        <v>16</v>
      </c>
      <c r="G89">
        <v>0</v>
      </c>
      <c r="H89">
        <v>0</v>
      </c>
      <c r="I89">
        <v>0</v>
      </c>
      <c r="J89">
        <v>0</v>
      </c>
      <c r="K89">
        <v>0</v>
      </c>
      <c r="L89">
        <v>0</v>
      </c>
      <c r="M89">
        <v>0</v>
      </c>
      <c r="N89">
        <v>0</v>
      </c>
      <c r="O89">
        <v>0</v>
      </c>
      <c r="P89">
        <v>0</v>
      </c>
      <c r="Q89">
        <v>0</v>
      </c>
      <c r="R89">
        <v>0</v>
      </c>
      <c r="S89">
        <v>0</v>
      </c>
      <c r="T89">
        <v>0</v>
      </c>
      <c r="U89">
        <v>0</v>
      </c>
      <c r="V89">
        <f t="shared" si="4"/>
        <v>-321.83999999999997</v>
      </c>
    </row>
    <row r="90" spans="1:22" x14ac:dyDescent="0.25">
      <c r="A90">
        <f t="shared" si="3"/>
        <v>91</v>
      </c>
      <c r="B90">
        <v>16261</v>
      </c>
      <c r="C90" t="s">
        <v>406</v>
      </c>
      <c r="D90" t="s">
        <v>116</v>
      </c>
      <c r="E90" t="s">
        <v>404</v>
      </c>
      <c r="F90">
        <v>16</v>
      </c>
      <c r="G90">
        <v>0</v>
      </c>
      <c r="H90">
        <v>0</v>
      </c>
      <c r="I90">
        <v>0</v>
      </c>
      <c r="J90">
        <v>0</v>
      </c>
      <c r="K90">
        <v>0</v>
      </c>
      <c r="L90">
        <v>0</v>
      </c>
      <c r="M90">
        <v>0</v>
      </c>
      <c r="N90">
        <v>0</v>
      </c>
      <c r="O90">
        <v>0</v>
      </c>
      <c r="P90">
        <v>0</v>
      </c>
      <c r="Q90">
        <v>0</v>
      </c>
      <c r="R90">
        <v>0</v>
      </c>
      <c r="S90">
        <v>0</v>
      </c>
      <c r="T90">
        <v>0</v>
      </c>
      <c r="U90">
        <v>0</v>
      </c>
      <c r="V90">
        <f t="shared" si="4"/>
        <v>-321.83999999999997</v>
      </c>
    </row>
    <row r="91" spans="1:22" x14ac:dyDescent="0.25">
      <c r="A91">
        <f t="shared" si="3"/>
        <v>91</v>
      </c>
      <c r="B91">
        <v>18079</v>
      </c>
      <c r="C91" t="s">
        <v>415</v>
      </c>
      <c r="D91" t="s">
        <v>116</v>
      </c>
      <c r="E91" t="s">
        <v>411</v>
      </c>
      <c r="F91">
        <v>16</v>
      </c>
      <c r="G91">
        <v>0</v>
      </c>
      <c r="H91">
        <v>0</v>
      </c>
      <c r="I91">
        <v>0</v>
      </c>
      <c r="J91">
        <v>0</v>
      </c>
      <c r="K91">
        <v>0</v>
      </c>
      <c r="L91">
        <v>0</v>
      </c>
      <c r="M91">
        <v>0</v>
      </c>
      <c r="N91">
        <v>0</v>
      </c>
      <c r="O91">
        <v>0</v>
      </c>
      <c r="P91">
        <v>0</v>
      </c>
      <c r="Q91">
        <v>0</v>
      </c>
      <c r="R91">
        <v>0</v>
      </c>
      <c r="S91">
        <v>0</v>
      </c>
      <c r="T91">
        <v>0</v>
      </c>
      <c r="U91">
        <v>0</v>
      </c>
      <c r="V91">
        <f t="shared" si="4"/>
        <v>-321.83999999999997</v>
      </c>
    </row>
    <row r="92" spans="1:22" x14ac:dyDescent="0.25">
      <c r="A92">
        <f t="shared" si="3"/>
        <v>91</v>
      </c>
      <c r="B92">
        <v>16850</v>
      </c>
      <c r="C92" t="s">
        <v>419</v>
      </c>
      <c r="D92" t="s">
        <v>116</v>
      </c>
      <c r="E92" t="s">
        <v>417</v>
      </c>
      <c r="F92">
        <v>16</v>
      </c>
      <c r="G92">
        <v>0</v>
      </c>
      <c r="H92">
        <v>0</v>
      </c>
      <c r="I92">
        <v>0</v>
      </c>
      <c r="J92">
        <v>0</v>
      </c>
      <c r="K92">
        <v>0</v>
      </c>
      <c r="L92">
        <v>0</v>
      </c>
      <c r="M92">
        <v>0</v>
      </c>
      <c r="N92">
        <v>0</v>
      </c>
      <c r="O92">
        <v>0</v>
      </c>
      <c r="P92">
        <v>0</v>
      </c>
      <c r="Q92">
        <v>0</v>
      </c>
      <c r="R92">
        <v>0</v>
      </c>
      <c r="S92">
        <v>0</v>
      </c>
      <c r="T92">
        <v>0</v>
      </c>
      <c r="U92">
        <v>0</v>
      </c>
      <c r="V92">
        <f t="shared" si="4"/>
        <v>-321.83999999999997</v>
      </c>
    </row>
    <row r="93" spans="1:22" x14ac:dyDescent="0.25">
      <c r="A93">
        <f t="shared" si="3"/>
        <v>91</v>
      </c>
      <c r="B93">
        <v>18139</v>
      </c>
      <c r="C93" t="s">
        <v>423</v>
      </c>
      <c r="D93" t="s">
        <v>116</v>
      </c>
      <c r="E93" t="s">
        <v>421</v>
      </c>
      <c r="F93">
        <v>16</v>
      </c>
      <c r="G93">
        <v>0</v>
      </c>
      <c r="H93">
        <v>0</v>
      </c>
      <c r="I93">
        <v>0</v>
      </c>
      <c r="J93">
        <v>0</v>
      </c>
      <c r="K93">
        <v>0</v>
      </c>
      <c r="L93">
        <v>0</v>
      </c>
      <c r="M93">
        <v>0</v>
      </c>
      <c r="N93">
        <v>0</v>
      </c>
      <c r="O93">
        <v>0</v>
      </c>
      <c r="P93">
        <v>0</v>
      </c>
      <c r="Q93">
        <v>0</v>
      </c>
      <c r="R93">
        <v>0</v>
      </c>
      <c r="S93">
        <v>0</v>
      </c>
      <c r="T93">
        <v>0</v>
      </c>
      <c r="U93">
        <v>0</v>
      </c>
      <c r="V93">
        <f t="shared" si="4"/>
        <v>-321.83999999999997</v>
      </c>
    </row>
    <row r="94" spans="1:22" x14ac:dyDescent="0.25">
      <c r="A94">
        <f t="shared" si="3"/>
        <v>91</v>
      </c>
      <c r="B94">
        <v>15037</v>
      </c>
      <c r="C94" t="s">
        <v>424</v>
      </c>
      <c r="D94" t="s">
        <v>116</v>
      </c>
      <c r="E94" t="s">
        <v>421</v>
      </c>
      <c r="F94">
        <v>16</v>
      </c>
      <c r="G94">
        <v>0</v>
      </c>
      <c r="H94">
        <v>0</v>
      </c>
      <c r="I94">
        <v>0</v>
      </c>
      <c r="J94">
        <v>0</v>
      </c>
      <c r="K94">
        <v>0</v>
      </c>
      <c r="L94">
        <v>0</v>
      </c>
      <c r="M94">
        <v>0</v>
      </c>
      <c r="N94">
        <v>0</v>
      </c>
      <c r="O94">
        <v>0</v>
      </c>
      <c r="P94">
        <v>0</v>
      </c>
      <c r="Q94">
        <v>0</v>
      </c>
      <c r="R94">
        <v>0</v>
      </c>
      <c r="S94">
        <v>0</v>
      </c>
      <c r="T94">
        <v>0</v>
      </c>
      <c r="U94">
        <v>0</v>
      </c>
      <c r="V94">
        <f t="shared" si="4"/>
        <v>-321.83999999999997</v>
      </c>
    </row>
    <row r="95" spans="1:22" x14ac:dyDescent="0.25">
      <c r="A95">
        <f t="shared" si="3"/>
        <v>91</v>
      </c>
      <c r="B95">
        <v>17179</v>
      </c>
      <c r="C95" t="s">
        <v>428</v>
      </c>
      <c r="D95" t="s">
        <v>116</v>
      </c>
      <c r="E95" t="s">
        <v>426</v>
      </c>
      <c r="F95">
        <v>16</v>
      </c>
      <c r="G95">
        <v>0</v>
      </c>
      <c r="H95">
        <v>0</v>
      </c>
      <c r="I95">
        <v>0</v>
      </c>
      <c r="J95">
        <v>0</v>
      </c>
      <c r="K95">
        <v>0</v>
      </c>
      <c r="L95">
        <v>0</v>
      </c>
      <c r="M95">
        <v>0</v>
      </c>
      <c r="N95">
        <v>0</v>
      </c>
      <c r="O95">
        <v>0</v>
      </c>
      <c r="P95">
        <v>0</v>
      </c>
      <c r="Q95">
        <v>0</v>
      </c>
      <c r="R95">
        <v>0</v>
      </c>
      <c r="S95">
        <v>0</v>
      </c>
      <c r="T95">
        <v>0</v>
      </c>
      <c r="U95">
        <v>0</v>
      </c>
      <c r="V95">
        <f t="shared" si="4"/>
        <v>-321.83999999999997</v>
      </c>
    </row>
    <row r="96" spans="1:22" x14ac:dyDescent="0.25">
      <c r="A96">
        <f t="shared" si="3"/>
        <v>91</v>
      </c>
      <c r="B96">
        <v>16836</v>
      </c>
      <c r="C96" t="s">
        <v>633</v>
      </c>
      <c r="D96" t="s">
        <v>116</v>
      </c>
      <c r="E96" t="s">
        <v>631</v>
      </c>
      <c r="F96">
        <v>16</v>
      </c>
      <c r="G96">
        <v>0</v>
      </c>
      <c r="H96">
        <v>0</v>
      </c>
      <c r="I96">
        <v>0</v>
      </c>
      <c r="J96">
        <v>0</v>
      </c>
      <c r="K96">
        <v>0</v>
      </c>
      <c r="L96">
        <v>0</v>
      </c>
      <c r="M96">
        <v>0</v>
      </c>
      <c r="N96">
        <v>0</v>
      </c>
      <c r="O96">
        <v>0</v>
      </c>
      <c r="P96">
        <v>0</v>
      </c>
      <c r="Q96">
        <v>0</v>
      </c>
      <c r="R96">
        <v>0</v>
      </c>
      <c r="S96">
        <v>0</v>
      </c>
      <c r="T96">
        <v>0</v>
      </c>
      <c r="U96">
        <v>0</v>
      </c>
      <c r="V96">
        <f t="shared" si="4"/>
        <v>-321.83999999999997</v>
      </c>
    </row>
    <row r="97" spans="1:22" x14ac:dyDescent="0.25">
      <c r="A97">
        <f t="shared" si="3"/>
        <v>91</v>
      </c>
      <c r="B97">
        <v>16656</v>
      </c>
      <c r="C97" t="s">
        <v>637</v>
      </c>
      <c r="D97" t="s">
        <v>116</v>
      </c>
      <c r="E97" t="s">
        <v>635</v>
      </c>
      <c r="F97">
        <v>16</v>
      </c>
      <c r="G97">
        <v>0</v>
      </c>
      <c r="H97">
        <v>0</v>
      </c>
      <c r="I97">
        <v>0</v>
      </c>
      <c r="J97">
        <v>0</v>
      </c>
      <c r="K97">
        <v>0</v>
      </c>
      <c r="L97">
        <v>0</v>
      </c>
      <c r="M97">
        <v>0</v>
      </c>
      <c r="N97">
        <v>0</v>
      </c>
      <c r="O97">
        <v>0</v>
      </c>
      <c r="P97">
        <v>0</v>
      </c>
      <c r="Q97">
        <v>0</v>
      </c>
      <c r="R97">
        <v>0</v>
      </c>
      <c r="S97">
        <v>0</v>
      </c>
      <c r="T97">
        <v>0</v>
      </c>
      <c r="U97">
        <v>0</v>
      </c>
      <c r="V97">
        <f t="shared" si="4"/>
        <v>-321.83999999999997</v>
      </c>
    </row>
    <row r="98" spans="1:22" x14ac:dyDescent="0.25">
      <c r="A98">
        <f t="shared" ref="A98:A104" si="5">_xlfn.RANK.AVG(U98,$U$2:$U$104,0)</f>
        <v>91</v>
      </c>
      <c r="B98">
        <v>17932</v>
      </c>
      <c r="C98" t="s">
        <v>646</v>
      </c>
      <c r="D98" t="s">
        <v>116</v>
      </c>
      <c r="E98" t="s">
        <v>644</v>
      </c>
      <c r="F98">
        <v>16</v>
      </c>
      <c r="G98">
        <v>0</v>
      </c>
      <c r="H98">
        <v>0</v>
      </c>
      <c r="I98">
        <v>0</v>
      </c>
      <c r="J98">
        <v>0</v>
      </c>
      <c r="K98">
        <v>0</v>
      </c>
      <c r="L98">
        <v>0</v>
      </c>
      <c r="M98">
        <v>0</v>
      </c>
      <c r="N98">
        <v>0</v>
      </c>
      <c r="O98">
        <v>0</v>
      </c>
      <c r="P98">
        <v>0</v>
      </c>
      <c r="Q98">
        <v>0</v>
      </c>
      <c r="R98">
        <v>0</v>
      </c>
      <c r="S98">
        <v>0</v>
      </c>
      <c r="T98">
        <v>0</v>
      </c>
      <c r="U98">
        <v>0</v>
      </c>
      <c r="V98">
        <f t="shared" si="4"/>
        <v>-321.83999999999997</v>
      </c>
    </row>
    <row r="99" spans="1:22" x14ac:dyDescent="0.25">
      <c r="A99">
        <f t="shared" si="5"/>
        <v>91</v>
      </c>
      <c r="B99">
        <v>13697</v>
      </c>
      <c r="C99" t="s">
        <v>776</v>
      </c>
      <c r="D99" t="s">
        <v>116</v>
      </c>
      <c r="E99" t="s">
        <v>774</v>
      </c>
      <c r="F99">
        <v>16</v>
      </c>
      <c r="G99">
        <v>0</v>
      </c>
      <c r="H99">
        <v>0</v>
      </c>
      <c r="I99">
        <v>0</v>
      </c>
      <c r="J99">
        <v>0</v>
      </c>
      <c r="K99">
        <v>0</v>
      </c>
      <c r="L99">
        <v>0</v>
      </c>
      <c r="M99">
        <v>0</v>
      </c>
      <c r="N99">
        <v>0</v>
      </c>
      <c r="O99">
        <v>0</v>
      </c>
      <c r="P99">
        <v>0</v>
      </c>
      <c r="Q99">
        <v>0</v>
      </c>
      <c r="R99">
        <v>0</v>
      </c>
      <c r="S99">
        <v>0</v>
      </c>
      <c r="T99">
        <v>0</v>
      </c>
      <c r="U99">
        <v>0</v>
      </c>
      <c r="V99">
        <f t="shared" si="4"/>
        <v>-321.83999999999997</v>
      </c>
    </row>
    <row r="100" spans="1:22" x14ac:dyDescent="0.25">
      <c r="A100">
        <f t="shared" si="5"/>
        <v>91</v>
      </c>
      <c r="B100">
        <v>18123</v>
      </c>
      <c r="C100" t="s">
        <v>777</v>
      </c>
      <c r="D100" t="s">
        <v>116</v>
      </c>
      <c r="E100" t="s">
        <v>774</v>
      </c>
      <c r="F100">
        <v>16</v>
      </c>
      <c r="G100">
        <v>0</v>
      </c>
      <c r="H100">
        <v>0</v>
      </c>
      <c r="I100">
        <v>0</v>
      </c>
      <c r="J100">
        <v>0</v>
      </c>
      <c r="K100">
        <v>0</v>
      </c>
      <c r="L100">
        <v>0</v>
      </c>
      <c r="M100">
        <v>0</v>
      </c>
      <c r="N100">
        <v>0</v>
      </c>
      <c r="O100">
        <v>0</v>
      </c>
      <c r="P100">
        <v>0</v>
      </c>
      <c r="Q100">
        <v>0</v>
      </c>
      <c r="R100">
        <v>0</v>
      </c>
      <c r="S100">
        <v>0</v>
      </c>
      <c r="T100">
        <v>0</v>
      </c>
      <c r="U100">
        <v>0</v>
      </c>
      <c r="V100">
        <f t="shared" si="4"/>
        <v>-321.83999999999997</v>
      </c>
    </row>
    <row r="101" spans="1:22" x14ac:dyDescent="0.25">
      <c r="A101">
        <f t="shared" si="5"/>
        <v>91</v>
      </c>
      <c r="B101">
        <v>15190</v>
      </c>
      <c r="C101" t="s">
        <v>577</v>
      </c>
      <c r="D101" t="s">
        <v>116</v>
      </c>
      <c r="E101" t="s">
        <v>779</v>
      </c>
      <c r="F101">
        <v>16</v>
      </c>
      <c r="G101">
        <v>0</v>
      </c>
      <c r="H101">
        <v>0</v>
      </c>
      <c r="I101">
        <v>0</v>
      </c>
      <c r="J101">
        <v>0</v>
      </c>
      <c r="K101">
        <v>0</v>
      </c>
      <c r="L101">
        <v>0</v>
      </c>
      <c r="M101">
        <v>0</v>
      </c>
      <c r="N101">
        <v>0</v>
      </c>
      <c r="O101">
        <v>0</v>
      </c>
      <c r="P101">
        <v>0</v>
      </c>
      <c r="Q101">
        <v>0</v>
      </c>
      <c r="R101">
        <v>0</v>
      </c>
      <c r="S101">
        <v>0</v>
      </c>
      <c r="T101">
        <v>0</v>
      </c>
      <c r="U101">
        <v>0</v>
      </c>
      <c r="V101">
        <f t="shared" si="4"/>
        <v>-321.83999999999997</v>
      </c>
    </row>
    <row r="102" spans="1:22" x14ac:dyDescent="0.25">
      <c r="A102">
        <f t="shared" si="5"/>
        <v>91</v>
      </c>
      <c r="B102">
        <v>12168</v>
      </c>
      <c r="C102" t="s">
        <v>781</v>
      </c>
      <c r="D102" t="s">
        <v>116</v>
      </c>
      <c r="E102" t="s">
        <v>779</v>
      </c>
      <c r="F102">
        <v>16</v>
      </c>
      <c r="G102">
        <v>0</v>
      </c>
      <c r="H102">
        <v>0</v>
      </c>
      <c r="I102">
        <v>0</v>
      </c>
      <c r="J102">
        <v>0</v>
      </c>
      <c r="K102">
        <v>0</v>
      </c>
      <c r="L102">
        <v>0</v>
      </c>
      <c r="M102">
        <v>0</v>
      </c>
      <c r="N102">
        <v>0</v>
      </c>
      <c r="O102">
        <v>0</v>
      </c>
      <c r="P102">
        <v>0</v>
      </c>
      <c r="Q102">
        <v>0</v>
      </c>
      <c r="R102">
        <v>0</v>
      </c>
      <c r="S102">
        <v>0</v>
      </c>
      <c r="T102">
        <v>0</v>
      </c>
      <c r="U102">
        <v>0</v>
      </c>
      <c r="V102">
        <f t="shared" si="4"/>
        <v>-321.83999999999997</v>
      </c>
    </row>
    <row r="103" spans="1:22" x14ac:dyDescent="0.25">
      <c r="A103">
        <f t="shared" si="5"/>
        <v>91</v>
      </c>
      <c r="B103">
        <v>14657</v>
      </c>
      <c r="C103" t="s">
        <v>785</v>
      </c>
      <c r="D103" t="s">
        <v>116</v>
      </c>
      <c r="E103" t="s">
        <v>783</v>
      </c>
      <c r="F103">
        <v>16</v>
      </c>
      <c r="G103">
        <v>0</v>
      </c>
      <c r="H103">
        <v>0</v>
      </c>
      <c r="I103">
        <v>0</v>
      </c>
      <c r="J103">
        <v>0</v>
      </c>
      <c r="K103">
        <v>0</v>
      </c>
      <c r="L103">
        <v>0</v>
      </c>
      <c r="M103">
        <v>0</v>
      </c>
      <c r="N103">
        <v>0</v>
      </c>
      <c r="O103">
        <v>0</v>
      </c>
      <c r="P103">
        <v>0</v>
      </c>
      <c r="Q103">
        <v>0</v>
      </c>
      <c r="R103">
        <v>0</v>
      </c>
      <c r="S103">
        <v>0</v>
      </c>
      <c r="T103">
        <v>0</v>
      </c>
      <c r="U103">
        <v>0</v>
      </c>
      <c r="V103">
        <f t="shared" si="4"/>
        <v>-321.83999999999997</v>
      </c>
    </row>
    <row r="104" spans="1:22" x14ac:dyDescent="0.25">
      <c r="A104">
        <f t="shared" si="5"/>
        <v>91</v>
      </c>
      <c r="B104">
        <v>18104</v>
      </c>
      <c r="C104" t="s">
        <v>789</v>
      </c>
      <c r="D104" t="s">
        <v>116</v>
      </c>
      <c r="E104" t="s">
        <v>787</v>
      </c>
      <c r="F104">
        <v>16</v>
      </c>
      <c r="G104">
        <v>0</v>
      </c>
      <c r="H104">
        <v>0</v>
      </c>
      <c r="I104">
        <v>0</v>
      </c>
      <c r="J104">
        <v>0</v>
      </c>
      <c r="K104">
        <v>0</v>
      </c>
      <c r="L104">
        <v>0</v>
      </c>
      <c r="M104">
        <v>0</v>
      </c>
      <c r="N104">
        <v>0</v>
      </c>
      <c r="O104">
        <v>0</v>
      </c>
      <c r="P104">
        <v>0</v>
      </c>
      <c r="Q104">
        <v>0</v>
      </c>
      <c r="R104">
        <v>0</v>
      </c>
      <c r="S104">
        <v>0</v>
      </c>
      <c r="T104">
        <v>0</v>
      </c>
      <c r="U104">
        <v>0</v>
      </c>
      <c r="V104">
        <f t="shared" si="4"/>
        <v>-321.83999999999997</v>
      </c>
    </row>
  </sheetData>
  <autoFilter ref="A1:U104">
    <sortState ref="A2:U104">
      <sortCondition ref="A1:A104"/>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90"/>
  <sheetViews>
    <sheetView workbookViewId="0">
      <selection activeCell="A2" sqref="A2:T2"/>
    </sheetView>
  </sheetViews>
  <sheetFormatPr defaultRowHeight="15" x14ac:dyDescent="0.25"/>
  <sheetData>
    <row r="1" spans="1:22" x14ac:dyDescent="0.25">
      <c r="A1" t="s">
        <v>51</v>
      </c>
      <c r="B1" t="s">
        <v>52</v>
      </c>
      <c r="C1" t="s">
        <v>53</v>
      </c>
      <c r="D1" t="s">
        <v>54</v>
      </c>
      <c r="E1" t="s">
        <v>55</v>
      </c>
      <c r="F1" t="s">
        <v>56</v>
      </c>
      <c r="G1" t="s">
        <v>109</v>
      </c>
      <c r="H1" t="s">
        <v>110</v>
      </c>
      <c r="I1" t="s">
        <v>111</v>
      </c>
      <c r="J1" t="s">
        <v>112</v>
      </c>
      <c r="K1" t="s">
        <v>119</v>
      </c>
      <c r="L1" t="s">
        <v>120</v>
      </c>
      <c r="M1" t="s">
        <v>110</v>
      </c>
      <c r="N1" t="s">
        <v>112</v>
      </c>
      <c r="O1" t="s">
        <v>121</v>
      </c>
      <c r="P1" t="s">
        <v>122</v>
      </c>
      <c r="Q1" t="s">
        <v>63</v>
      </c>
      <c r="R1" t="s">
        <v>64</v>
      </c>
      <c r="S1" t="s">
        <v>903</v>
      </c>
      <c r="T1" t="s">
        <v>905</v>
      </c>
      <c r="U1">
        <v>53</v>
      </c>
      <c r="V1">
        <v>95</v>
      </c>
    </row>
    <row r="2" spans="1:22" x14ac:dyDescent="0.25">
      <c r="A2" s="11">
        <f t="shared" ref="A2:A33" si="0">_xlfn.RANK.AVG(S2,$S$2:$S$190,0)</f>
        <v>1</v>
      </c>
      <c r="B2" s="11">
        <v>16847</v>
      </c>
      <c r="C2" s="11" t="s">
        <v>138</v>
      </c>
      <c r="D2" s="11" t="s">
        <v>139</v>
      </c>
      <c r="E2" s="11" t="s">
        <v>135</v>
      </c>
      <c r="F2" s="11">
        <v>16</v>
      </c>
      <c r="G2" s="11">
        <v>230</v>
      </c>
      <c r="H2" s="11">
        <v>1005</v>
      </c>
      <c r="I2" s="11">
        <v>4.4000000000000004</v>
      </c>
      <c r="J2" s="11">
        <v>8</v>
      </c>
      <c r="K2" s="11">
        <v>70.2</v>
      </c>
      <c r="L2" s="11">
        <v>54</v>
      </c>
      <c r="M2" s="11">
        <v>504</v>
      </c>
      <c r="N2" s="11">
        <v>3</v>
      </c>
      <c r="O2" s="11">
        <v>2</v>
      </c>
      <c r="P2" s="11">
        <v>2</v>
      </c>
      <c r="Q2" s="11">
        <v>13.3</v>
      </c>
      <c r="R2" s="11">
        <v>212.9</v>
      </c>
      <c r="S2" s="11">
        <v>266.89999999999998</v>
      </c>
      <c r="T2" s="11">
        <f>S2-$V$1</f>
        <v>171.89999999999998</v>
      </c>
    </row>
    <row r="3" spans="1:22" x14ac:dyDescent="0.25">
      <c r="A3" s="11">
        <f t="shared" si="0"/>
        <v>2</v>
      </c>
      <c r="B3" s="11">
        <v>16771</v>
      </c>
      <c r="C3" s="11" t="s">
        <v>469</v>
      </c>
      <c r="D3" s="11" t="s">
        <v>139</v>
      </c>
      <c r="E3" s="11" t="s">
        <v>417</v>
      </c>
      <c r="F3" s="11">
        <v>16</v>
      </c>
      <c r="G3" s="11">
        <v>287</v>
      </c>
      <c r="H3" s="11">
        <v>1307</v>
      </c>
      <c r="I3" s="11">
        <v>4.5999999999999996</v>
      </c>
      <c r="J3" s="11">
        <v>10</v>
      </c>
      <c r="K3" s="11">
        <v>46.2</v>
      </c>
      <c r="L3" s="11">
        <v>34</v>
      </c>
      <c r="M3" s="11">
        <v>283</v>
      </c>
      <c r="N3" s="11">
        <v>1</v>
      </c>
      <c r="O3" s="11">
        <v>2</v>
      </c>
      <c r="P3" s="11">
        <v>2</v>
      </c>
      <c r="Q3" s="11">
        <v>13.8</v>
      </c>
      <c r="R3" s="11">
        <v>221</v>
      </c>
      <c r="S3" s="11">
        <v>255</v>
      </c>
      <c r="T3" s="11">
        <f t="shared" ref="T3:T66" si="1">S3-$V$1</f>
        <v>160</v>
      </c>
    </row>
    <row r="4" spans="1:22" x14ac:dyDescent="0.25">
      <c r="A4" s="11">
        <f t="shared" si="0"/>
        <v>3</v>
      </c>
      <c r="B4" s="11">
        <v>13791</v>
      </c>
      <c r="C4" s="11" t="s">
        <v>444</v>
      </c>
      <c r="D4" s="11" t="s">
        <v>139</v>
      </c>
      <c r="E4" s="11" t="s">
        <v>400</v>
      </c>
      <c r="F4" s="11">
        <v>16</v>
      </c>
      <c r="G4" s="11">
        <v>270</v>
      </c>
      <c r="H4" s="11">
        <v>1178</v>
      </c>
      <c r="I4" s="11">
        <v>4.4000000000000004</v>
      </c>
      <c r="J4" s="11">
        <v>7</v>
      </c>
      <c r="K4" s="11">
        <v>65.3</v>
      </c>
      <c r="L4" s="11">
        <v>47</v>
      </c>
      <c r="M4" s="11">
        <v>373</v>
      </c>
      <c r="N4" s="11">
        <v>2</v>
      </c>
      <c r="O4" s="11">
        <v>2</v>
      </c>
      <c r="P4" s="11">
        <v>2</v>
      </c>
      <c r="Q4" s="11">
        <v>12.8</v>
      </c>
      <c r="R4" s="11">
        <v>205.1</v>
      </c>
      <c r="S4" s="11">
        <v>252.10000000000002</v>
      </c>
      <c r="T4" s="11">
        <f t="shared" si="1"/>
        <v>157.10000000000002</v>
      </c>
    </row>
    <row r="5" spans="1:22" x14ac:dyDescent="0.25">
      <c r="A5" s="11">
        <f t="shared" si="0"/>
        <v>4</v>
      </c>
      <c r="B5" s="11">
        <v>7969</v>
      </c>
      <c r="C5" s="11" t="s">
        <v>462</v>
      </c>
      <c r="D5" s="11" t="s">
        <v>139</v>
      </c>
      <c r="E5" s="11" t="s">
        <v>411</v>
      </c>
      <c r="F5" s="11">
        <v>16</v>
      </c>
      <c r="G5" s="11">
        <v>212</v>
      </c>
      <c r="H5" s="11">
        <v>1030</v>
      </c>
      <c r="I5" s="11">
        <v>4.9000000000000004</v>
      </c>
      <c r="J5" s="11">
        <v>8</v>
      </c>
      <c r="K5" s="11">
        <v>71</v>
      </c>
      <c r="L5" s="11">
        <v>48</v>
      </c>
      <c r="M5" s="11">
        <v>369</v>
      </c>
      <c r="N5" s="11">
        <v>3</v>
      </c>
      <c r="O5" s="11">
        <v>4</v>
      </c>
      <c r="P5" s="11">
        <v>4</v>
      </c>
      <c r="Q5" s="11">
        <v>12.4</v>
      </c>
      <c r="R5" s="11">
        <v>197.9</v>
      </c>
      <c r="S5" s="11">
        <v>245.9</v>
      </c>
      <c r="T5" s="11">
        <f t="shared" si="1"/>
        <v>150.9</v>
      </c>
    </row>
    <row r="6" spans="1:22" x14ac:dyDescent="0.25">
      <c r="A6" s="11">
        <f t="shared" si="0"/>
        <v>5</v>
      </c>
      <c r="B6" s="11">
        <v>16524</v>
      </c>
      <c r="C6" s="11" t="s">
        <v>179</v>
      </c>
      <c r="D6" s="11" t="s">
        <v>139</v>
      </c>
      <c r="E6" s="11" t="s">
        <v>162</v>
      </c>
      <c r="F6" s="11">
        <v>16</v>
      </c>
      <c r="G6" s="11">
        <v>213</v>
      </c>
      <c r="H6" s="11">
        <v>876</v>
      </c>
      <c r="I6" s="11">
        <v>4.0999999999999996</v>
      </c>
      <c r="J6" s="11">
        <v>7</v>
      </c>
      <c r="K6" s="11">
        <v>81</v>
      </c>
      <c r="L6" s="11">
        <v>60</v>
      </c>
      <c r="M6" s="11">
        <v>481</v>
      </c>
      <c r="N6" s="11">
        <v>2</v>
      </c>
      <c r="O6" s="11">
        <v>3</v>
      </c>
      <c r="P6" s="11">
        <v>3</v>
      </c>
      <c r="Q6" s="11">
        <v>11.5</v>
      </c>
      <c r="R6" s="11">
        <v>183.7</v>
      </c>
      <c r="S6" s="11">
        <v>243.7</v>
      </c>
      <c r="T6" s="11">
        <f t="shared" si="1"/>
        <v>148.69999999999999</v>
      </c>
    </row>
    <row r="7" spans="1:22" x14ac:dyDescent="0.25">
      <c r="A7" s="11">
        <f t="shared" si="0"/>
        <v>6</v>
      </c>
      <c r="B7" s="11">
        <v>4807</v>
      </c>
      <c r="C7" s="11" t="s">
        <v>480</v>
      </c>
      <c r="D7" s="11" t="s">
        <v>139</v>
      </c>
      <c r="E7" s="11" t="s">
        <v>426</v>
      </c>
      <c r="F7" s="11">
        <v>16</v>
      </c>
      <c r="G7" s="11">
        <v>293</v>
      </c>
      <c r="H7" s="11">
        <v>1310</v>
      </c>
      <c r="I7" s="11">
        <v>4.5</v>
      </c>
      <c r="J7" s="11">
        <v>9</v>
      </c>
      <c r="K7" s="11">
        <v>42.9</v>
      </c>
      <c r="L7" s="11">
        <v>33</v>
      </c>
      <c r="M7" s="11">
        <v>239</v>
      </c>
      <c r="N7" s="11">
        <v>1</v>
      </c>
      <c r="O7" s="11">
        <v>3</v>
      </c>
      <c r="P7" s="11">
        <v>3</v>
      </c>
      <c r="Q7" s="11">
        <v>13.1</v>
      </c>
      <c r="R7" s="11">
        <v>208.9</v>
      </c>
      <c r="S7" s="11">
        <v>241.9</v>
      </c>
      <c r="T7" s="11">
        <f t="shared" si="1"/>
        <v>146.9</v>
      </c>
    </row>
    <row r="8" spans="1:22" x14ac:dyDescent="0.25">
      <c r="A8" s="11">
        <f t="shared" si="0"/>
        <v>7</v>
      </c>
      <c r="B8" s="11">
        <v>17923</v>
      </c>
      <c r="C8" s="11" t="s">
        <v>312</v>
      </c>
      <c r="D8" s="11" t="s">
        <v>139</v>
      </c>
      <c r="E8" s="11" t="s">
        <v>288</v>
      </c>
      <c r="F8" s="11">
        <v>16</v>
      </c>
      <c r="G8" s="11">
        <v>253</v>
      </c>
      <c r="H8" s="11">
        <v>1148</v>
      </c>
      <c r="I8" s="11">
        <v>4.5</v>
      </c>
      <c r="J8" s="11">
        <v>8</v>
      </c>
      <c r="K8" s="11">
        <v>51.9</v>
      </c>
      <c r="L8" s="11">
        <v>39</v>
      </c>
      <c r="M8" s="11">
        <v>315</v>
      </c>
      <c r="N8" s="11">
        <v>1</v>
      </c>
      <c r="O8" s="11">
        <v>2</v>
      </c>
      <c r="P8" s="11">
        <v>2</v>
      </c>
      <c r="Q8" s="11">
        <v>12.3</v>
      </c>
      <c r="R8" s="11">
        <v>196.3</v>
      </c>
      <c r="S8" s="11">
        <v>235.3</v>
      </c>
      <c r="T8" s="11">
        <f t="shared" si="1"/>
        <v>140.30000000000001</v>
      </c>
    </row>
    <row r="9" spans="1:22" x14ac:dyDescent="0.25">
      <c r="A9" s="11">
        <f t="shared" si="0"/>
        <v>8</v>
      </c>
      <c r="B9" s="11">
        <v>14967</v>
      </c>
      <c r="C9" s="11" t="s">
        <v>685</v>
      </c>
      <c r="D9" s="11" t="s">
        <v>139</v>
      </c>
      <c r="E9" s="11" t="s">
        <v>648</v>
      </c>
      <c r="F9" s="11">
        <v>16</v>
      </c>
      <c r="G9" s="11">
        <v>201</v>
      </c>
      <c r="H9" s="11">
        <v>915</v>
      </c>
      <c r="I9" s="11">
        <v>4.5999999999999996</v>
      </c>
      <c r="J9" s="11">
        <v>7</v>
      </c>
      <c r="K9" s="11">
        <v>69.099999999999994</v>
      </c>
      <c r="L9" s="11">
        <v>47</v>
      </c>
      <c r="M9" s="11">
        <v>392</v>
      </c>
      <c r="N9" s="11">
        <v>2</v>
      </c>
      <c r="O9" s="11">
        <v>1</v>
      </c>
      <c r="P9" s="11">
        <v>1</v>
      </c>
      <c r="Q9" s="11">
        <v>11.4</v>
      </c>
      <c r="R9" s="11">
        <v>182.7</v>
      </c>
      <c r="S9" s="11">
        <v>229.7</v>
      </c>
      <c r="T9" s="11">
        <f t="shared" si="1"/>
        <v>134.69999999999999</v>
      </c>
    </row>
    <row r="10" spans="1:22" x14ac:dyDescent="0.25">
      <c r="A10" s="11">
        <f t="shared" si="0"/>
        <v>9</v>
      </c>
      <c r="B10" s="11">
        <v>13337</v>
      </c>
      <c r="C10" s="11" t="s">
        <v>651</v>
      </c>
      <c r="D10" s="11" t="s">
        <v>139</v>
      </c>
      <c r="E10" s="11" t="s">
        <v>631</v>
      </c>
      <c r="F10" s="11">
        <v>16</v>
      </c>
      <c r="G10" s="11">
        <v>210</v>
      </c>
      <c r="H10" s="11">
        <v>917</v>
      </c>
      <c r="I10" s="11">
        <v>4.4000000000000004</v>
      </c>
      <c r="J10" s="11">
        <v>8</v>
      </c>
      <c r="K10" s="11">
        <v>68</v>
      </c>
      <c r="L10" s="11">
        <v>50</v>
      </c>
      <c r="M10" s="11">
        <v>371</v>
      </c>
      <c r="N10" s="11">
        <v>1</v>
      </c>
      <c r="O10" s="11">
        <v>2</v>
      </c>
      <c r="P10" s="11">
        <v>2</v>
      </c>
      <c r="Q10" s="11">
        <v>11.2</v>
      </c>
      <c r="R10" s="11">
        <v>178.8</v>
      </c>
      <c r="S10" s="11">
        <v>228.79999999999998</v>
      </c>
      <c r="T10" s="11">
        <f t="shared" si="1"/>
        <v>133.79999999999998</v>
      </c>
    </row>
    <row r="11" spans="1:22" x14ac:dyDescent="0.25">
      <c r="A11" s="11">
        <f t="shared" si="0"/>
        <v>10</v>
      </c>
      <c r="B11" s="11">
        <v>11932</v>
      </c>
      <c r="C11" s="11" t="s">
        <v>193</v>
      </c>
      <c r="D11" s="11" t="s">
        <v>139</v>
      </c>
      <c r="E11" s="11" t="s">
        <v>172</v>
      </c>
      <c r="F11" s="11">
        <v>16</v>
      </c>
      <c r="G11" s="11">
        <v>245</v>
      </c>
      <c r="H11" s="11">
        <v>1073</v>
      </c>
      <c r="I11" s="11">
        <v>4.4000000000000004</v>
      </c>
      <c r="J11" s="11">
        <v>6</v>
      </c>
      <c r="K11" s="11">
        <v>51.7</v>
      </c>
      <c r="L11" s="11">
        <v>38</v>
      </c>
      <c r="M11" s="11">
        <v>290</v>
      </c>
      <c r="N11" s="11">
        <v>2</v>
      </c>
      <c r="O11" s="11">
        <v>2</v>
      </c>
      <c r="P11" s="11">
        <v>2</v>
      </c>
      <c r="Q11" s="11">
        <v>11.3</v>
      </c>
      <c r="R11" s="11">
        <v>180.3</v>
      </c>
      <c r="S11" s="11">
        <v>218.3</v>
      </c>
      <c r="T11" s="11">
        <f t="shared" si="1"/>
        <v>123.30000000000001</v>
      </c>
    </row>
    <row r="12" spans="1:22" x14ac:dyDescent="0.25">
      <c r="A12" s="11">
        <f t="shared" si="0"/>
        <v>11</v>
      </c>
      <c r="B12" s="11">
        <v>14385</v>
      </c>
      <c r="C12" s="11" t="s">
        <v>805</v>
      </c>
      <c r="D12" s="11" t="s">
        <v>139</v>
      </c>
      <c r="E12" s="11" t="s">
        <v>779</v>
      </c>
      <c r="F12" s="11">
        <v>16</v>
      </c>
      <c r="G12" s="11">
        <v>264</v>
      </c>
      <c r="H12" s="11">
        <v>1186</v>
      </c>
      <c r="I12" s="11">
        <v>4.5</v>
      </c>
      <c r="J12" s="11">
        <v>7</v>
      </c>
      <c r="K12" s="11">
        <v>46.7</v>
      </c>
      <c r="L12" s="11">
        <v>32</v>
      </c>
      <c r="M12" s="11">
        <v>238</v>
      </c>
      <c r="N12" s="11">
        <v>1</v>
      </c>
      <c r="O12" s="11">
        <v>3</v>
      </c>
      <c r="P12" s="11">
        <v>3</v>
      </c>
      <c r="Q12" s="11">
        <v>11.5</v>
      </c>
      <c r="R12" s="11">
        <v>184.4</v>
      </c>
      <c r="S12" s="11">
        <v>216.4</v>
      </c>
      <c r="T12" s="11">
        <f t="shared" si="1"/>
        <v>121.4</v>
      </c>
    </row>
    <row r="13" spans="1:22" x14ac:dyDescent="0.25">
      <c r="A13" s="11">
        <f t="shared" si="0"/>
        <v>12</v>
      </c>
      <c r="B13" s="11">
        <v>15138</v>
      </c>
      <c r="C13" s="11" t="s">
        <v>440</v>
      </c>
      <c r="D13" s="11" t="s">
        <v>139</v>
      </c>
      <c r="E13" s="11" t="s">
        <v>397</v>
      </c>
      <c r="F13" s="11">
        <v>16</v>
      </c>
      <c r="G13" s="11">
        <v>233</v>
      </c>
      <c r="H13" s="11">
        <v>1037</v>
      </c>
      <c r="I13" s="11">
        <v>4.5</v>
      </c>
      <c r="J13" s="11">
        <v>7</v>
      </c>
      <c r="K13" s="11">
        <v>42.9</v>
      </c>
      <c r="L13" s="11">
        <v>32</v>
      </c>
      <c r="M13" s="11">
        <v>269</v>
      </c>
      <c r="N13" s="11">
        <v>2</v>
      </c>
      <c r="O13" s="11">
        <v>2</v>
      </c>
      <c r="P13" s="11">
        <v>2</v>
      </c>
      <c r="Q13" s="11">
        <v>11.3</v>
      </c>
      <c r="R13" s="11">
        <v>180.6</v>
      </c>
      <c r="S13" s="11">
        <v>212.6</v>
      </c>
      <c r="T13" s="11">
        <f t="shared" si="1"/>
        <v>117.6</v>
      </c>
    </row>
    <row r="14" spans="1:22" x14ac:dyDescent="0.25">
      <c r="A14" s="11">
        <f t="shared" si="0"/>
        <v>13</v>
      </c>
      <c r="B14" s="11">
        <v>2699</v>
      </c>
      <c r="C14" s="11" t="s">
        <v>667</v>
      </c>
      <c r="D14" s="11" t="s">
        <v>139</v>
      </c>
      <c r="E14" s="11" t="s">
        <v>639</v>
      </c>
      <c r="F14" s="11">
        <v>16</v>
      </c>
      <c r="G14" s="11">
        <v>205</v>
      </c>
      <c r="H14" s="11">
        <v>856</v>
      </c>
      <c r="I14" s="11">
        <v>4.2</v>
      </c>
      <c r="J14" s="11">
        <v>5</v>
      </c>
      <c r="K14" s="11">
        <v>63.8</v>
      </c>
      <c r="L14" s="11">
        <v>44</v>
      </c>
      <c r="M14" s="11">
        <v>356</v>
      </c>
      <c r="N14" s="11">
        <v>2</v>
      </c>
      <c r="O14" s="11">
        <v>2</v>
      </c>
      <c r="P14" s="11">
        <v>2</v>
      </c>
      <c r="Q14" s="11">
        <v>10</v>
      </c>
      <c r="R14" s="11">
        <v>159.19999999999999</v>
      </c>
      <c r="S14" s="11">
        <v>203.2</v>
      </c>
      <c r="T14" s="11">
        <f t="shared" si="1"/>
        <v>108.19999999999999</v>
      </c>
    </row>
    <row r="15" spans="1:22" x14ac:dyDescent="0.25">
      <c r="A15" s="11">
        <f t="shared" si="0"/>
        <v>14</v>
      </c>
      <c r="B15" s="11">
        <v>15020</v>
      </c>
      <c r="C15" s="11" t="s">
        <v>318</v>
      </c>
      <c r="D15" s="11" t="s">
        <v>139</v>
      </c>
      <c r="E15" s="11" t="s">
        <v>292</v>
      </c>
      <c r="F15" s="11">
        <v>16</v>
      </c>
      <c r="G15" s="11">
        <v>225</v>
      </c>
      <c r="H15" s="11">
        <v>999</v>
      </c>
      <c r="I15" s="11">
        <v>4.4000000000000004</v>
      </c>
      <c r="J15" s="11">
        <v>7</v>
      </c>
      <c r="K15" s="11">
        <v>47.9</v>
      </c>
      <c r="L15" s="11">
        <v>34</v>
      </c>
      <c r="M15" s="11">
        <v>250</v>
      </c>
      <c r="N15" s="11">
        <v>1</v>
      </c>
      <c r="O15" s="11">
        <v>2</v>
      </c>
      <c r="P15" s="11">
        <v>2</v>
      </c>
      <c r="Q15" s="11">
        <v>10.6</v>
      </c>
      <c r="R15" s="11">
        <v>168.9</v>
      </c>
      <c r="S15" s="11">
        <v>202.9</v>
      </c>
      <c r="T15" s="11">
        <f t="shared" si="1"/>
        <v>107.9</v>
      </c>
    </row>
    <row r="16" spans="1:22" x14ac:dyDescent="0.25">
      <c r="A16" s="11">
        <f t="shared" si="0"/>
        <v>15</v>
      </c>
      <c r="B16" s="11">
        <v>12708</v>
      </c>
      <c r="C16" s="11" t="s">
        <v>485</v>
      </c>
      <c r="D16" s="11" t="s">
        <v>139</v>
      </c>
      <c r="E16" s="11" t="s">
        <v>430</v>
      </c>
      <c r="F16" s="11">
        <v>16</v>
      </c>
      <c r="G16" s="11">
        <v>105</v>
      </c>
      <c r="H16" s="11">
        <v>430</v>
      </c>
      <c r="I16" s="11">
        <v>4.0999999999999996</v>
      </c>
      <c r="J16" s="11">
        <v>3</v>
      </c>
      <c r="K16" s="11">
        <v>96.5</v>
      </c>
      <c r="L16" s="11">
        <v>67</v>
      </c>
      <c r="M16" s="11">
        <v>604</v>
      </c>
      <c r="N16" s="11">
        <v>3</v>
      </c>
      <c r="O16" s="11">
        <v>2</v>
      </c>
      <c r="P16" s="11">
        <v>2</v>
      </c>
      <c r="Q16" s="11">
        <v>8.5</v>
      </c>
      <c r="R16" s="11">
        <v>135.4</v>
      </c>
      <c r="S16" s="11">
        <v>202.4</v>
      </c>
      <c r="T16" s="11">
        <f t="shared" si="1"/>
        <v>107.4</v>
      </c>
    </row>
    <row r="17" spans="1:20" x14ac:dyDescent="0.25">
      <c r="A17" s="11">
        <f t="shared" si="0"/>
        <v>16</v>
      </c>
      <c r="B17" s="11">
        <v>12317</v>
      </c>
      <c r="C17" s="11" t="s">
        <v>790</v>
      </c>
      <c r="D17" s="11" t="s">
        <v>139</v>
      </c>
      <c r="E17" s="11" t="s">
        <v>768</v>
      </c>
      <c r="F17" s="11">
        <v>16</v>
      </c>
      <c r="G17" s="11">
        <v>83</v>
      </c>
      <c r="H17" s="11">
        <v>315</v>
      </c>
      <c r="I17" s="11">
        <v>3.8</v>
      </c>
      <c r="J17" s="11">
        <v>2</v>
      </c>
      <c r="K17" s="11">
        <v>98</v>
      </c>
      <c r="L17" s="11">
        <v>71</v>
      </c>
      <c r="M17" s="11">
        <v>612</v>
      </c>
      <c r="N17" s="11">
        <v>4</v>
      </c>
      <c r="O17" s="11">
        <v>1</v>
      </c>
      <c r="P17" s="11">
        <v>1</v>
      </c>
      <c r="Q17" s="11">
        <v>7.9</v>
      </c>
      <c r="R17" s="11">
        <v>126.7</v>
      </c>
      <c r="S17" s="11">
        <v>197.7</v>
      </c>
      <c r="T17" s="11">
        <f t="shared" si="1"/>
        <v>102.69999999999999</v>
      </c>
    </row>
    <row r="18" spans="1:20" x14ac:dyDescent="0.25">
      <c r="A18" s="11">
        <f t="shared" si="0"/>
        <v>17</v>
      </c>
      <c r="B18" s="11">
        <v>16668</v>
      </c>
      <c r="C18" s="11" t="s">
        <v>798</v>
      </c>
      <c r="D18" s="11" t="s">
        <v>139</v>
      </c>
      <c r="E18" s="11" t="s">
        <v>774</v>
      </c>
      <c r="F18" s="11">
        <v>16</v>
      </c>
      <c r="G18" s="11">
        <v>242</v>
      </c>
      <c r="H18" s="11">
        <v>1020</v>
      </c>
      <c r="I18" s="11">
        <v>4.2</v>
      </c>
      <c r="J18" s="11">
        <v>6</v>
      </c>
      <c r="K18" s="11">
        <v>46.2</v>
      </c>
      <c r="L18" s="11">
        <v>33</v>
      </c>
      <c r="M18" s="11">
        <v>215</v>
      </c>
      <c r="N18" s="11">
        <v>1</v>
      </c>
      <c r="O18" s="11">
        <v>1</v>
      </c>
      <c r="P18" s="11">
        <v>1</v>
      </c>
      <c r="Q18" s="11">
        <v>10.199999999999999</v>
      </c>
      <c r="R18" s="11">
        <v>163.5</v>
      </c>
      <c r="S18" s="11">
        <v>196.5</v>
      </c>
      <c r="T18" s="11">
        <f t="shared" si="1"/>
        <v>101.5</v>
      </c>
    </row>
    <row r="19" spans="1:20" x14ac:dyDescent="0.25">
      <c r="A19" s="11">
        <f t="shared" si="0"/>
        <v>18</v>
      </c>
      <c r="B19" s="11">
        <v>17050</v>
      </c>
      <c r="C19" s="11" t="s">
        <v>794</v>
      </c>
      <c r="D19" s="11" t="s">
        <v>139</v>
      </c>
      <c r="E19" s="11" t="s">
        <v>772</v>
      </c>
      <c r="F19" s="11">
        <v>16</v>
      </c>
      <c r="G19" s="11">
        <v>231</v>
      </c>
      <c r="H19" s="11">
        <v>1090</v>
      </c>
      <c r="I19" s="11">
        <v>4.7</v>
      </c>
      <c r="J19" s="11">
        <v>7</v>
      </c>
      <c r="K19" s="11">
        <v>30.1</v>
      </c>
      <c r="L19" s="11">
        <v>23</v>
      </c>
      <c r="M19" s="11">
        <v>179</v>
      </c>
      <c r="N19" s="11">
        <v>1</v>
      </c>
      <c r="O19" s="11">
        <v>2</v>
      </c>
      <c r="P19" s="11">
        <v>2</v>
      </c>
      <c r="Q19" s="11">
        <v>10.7</v>
      </c>
      <c r="R19" s="11">
        <v>170.9</v>
      </c>
      <c r="S19" s="11">
        <v>193.9</v>
      </c>
      <c r="T19" s="11">
        <f t="shared" si="1"/>
        <v>98.9</v>
      </c>
    </row>
    <row r="20" spans="1:20" x14ac:dyDescent="0.25">
      <c r="A20" s="11">
        <f t="shared" si="0"/>
        <v>19</v>
      </c>
      <c r="B20" s="11">
        <v>15071</v>
      </c>
      <c r="C20" s="11" t="s">
        <v>674</v>
      </c>
      <c r="D20" s="11" t="s">
        <v>139</v>
      </c>
      <c r="E20" s="11" t="s">
        <v>644</v>
      </c>
      <c r="F20" s="11">
        <v>16</v>
      </c>
      <c r="G20" s="11">
        <v>228</v>
      </c>
      <c r="H20" s="11">
        <v>969</v>
      </c>
      <c r="I20" s="11">
        <v>4.2</v>
      </c>
      <c r="J20" s="11">
        <v>6</v>
      </c>
      <c r="K20" s="11">
        <v>43.9</v>
      </c>
      <c r="L20" s="11">
        <v>33</v>
      </c>
      <c r="M20" s="11">
        <v>236</v>
      </c>
      <c r="N20" s="11">
        <v>1</v>
      </c>
      <c r="O20" s="11">
        <v>2</v>
      </c>
      <c r="P20" s="11">
        <v>2</v>
      </c>
      <c r="Q20" s="11">
        <v>9.9</v>
      </c>
      <c r="R20" s="11">
        <v>158.5</v>
      </c>
      <c r="S20" s="11">
        <v>191.5</v>
      </c>
      <c r="T20" s="11">
        <f t="shared" si="1"/>
        <v>96.5</v>
      </c>
    </row>
    <row r="21" spans="1:20" x14ac:dyDescent="0.25">
      <c r="A21" s="11">
        <f t="shared" si="0"/>
        <v>20</v>
      </c>
      <c r="B21" s="11">
        <v>14916</v>
      </c>
      <c r="C21" s="11" t="s">
        <v>301</v>
      </c>
      <c r="D21" s="11" t="s">
        <v>139</v>
      </c>
      <c r="E21" s="11" t="s">
        <v>279</v>
      </c>
      <c r="F21" s="11">
        <v>16</v>
      </c>
      <c r="G21" s="11">
        <v>152</v>
      </c>
      <c r="H21" s="11">
        <v>666</v>
      </c>
      <c r="I21" s="11">
        <v>4.4000000000000004</v>
      </c>
      <c r="J21" s="11">
        <v>4</v>
      </c>
      <c r="K21" s="11">
        <v>64.3</v>
      </c>
      <c r="L21" s="11">
        <v>48</v>
      </c>
      <c r="M21" s="11">
        <v>421</v>
      </c>
      <c r="N21" s="11">
        <v>2</v>
      </c>
      <c r="O21" s="11">
        <v>1</v>
      </c>
      <c r="P21" s="11">
        <v>1</v>
      </c>
      <c r="Q21" s="11">
        <v>8.9</v>
      </c>
      <c r="R21" s="11">
        <v>142.69999999999999</v>
      </c>
      <c r="S21" s="11">
        <v>190.7</v>
      </c>
      <c r="T21" s="11">
        <f t="shared" si="1"/>
        <v>95.699999999999989</v>
      </c>
    </row>
    <row r="22" spans="1:20" x14ac:dyDescent="0.25">
      <c r="A22" s="11">
        <f t="shared" si="0"/>
        <v>21</v>
      </c>
      <c r="B22" s="11">
        <v>16867</v>
      </c>
      <c r="C22" s="11" t="s">
        <v>295</v>
      </c>
      <c r="D22" s="11" t="s">
        <v>139</v>
      </c>
      <c r="E22" s="11" t="s">
        <v>273</v>
      </c>
      <c r="F22" s="11">
        <v>16</v>
      </c>
      <c r="G22" s="11">
        <v>183</v>
      </c>
      <c r="H22" s="11">
        <v>741</v>
      </c>
      <c r="I22" s="11">
        <v>4</v>
      </c>
      <c r="J22" s="11">
        <v>5</v>
      </c>
      <c r="K22" s="11">
        <v>51.4</v>
      </c>
      <c r="L22" s="11">
        <v>37</v>
      </c>
      <c r="M22" s="11">
        <v>350</v>
      </c>
      <c r="N22" s="11">
        <v>2</v>
      </c>
      <c r="O22" s="11">
        <v>1</v>
      </c>
      <c r="P22" s="11">
        <v>1</v>
      </c>
      <c r="Q22" s="11">
        <v>9.3000000000000007</v>
      </c>
      <c r="R22" s="11">
        <v>149.1</v>
      </c>
      <c r="S22" s="11">
        <v>186.1</v>
      </c>
      <c r="T22" s="11">
        <f t="shared" si="1"/>
        <v>91.1</v>
      </c>
    </row>
    <row r="23" spans="1:20" x14ac:dyDescent="0.25">
      <c r="A23" s="11">
        <f t="shared" si="0"/>
        <v>22</v>
      </c>
      <c r="B23" s="11">
        <v>16838</v>
      </c>
      <c r="C23" s="11" t="s">
        <v>305</v>
      </c>
      <c r="D23" s="11" t="s">
        <v>139</v>
      </c>
      <c r="E23" s="11" t="s">
        <v>283</v>
      </c>
      <c r="F23" s="11">
        <v>16</v>
      </c>
      <c r="G23" s="11">
        <v>142</v>
      </c>
      <c r="H23" s="11">
        <v>560</v>
      </c>
      <c r="I23" s="11">
        <v>3.9</v>
      </c>
      <c r="J23" s="11">
        <v>3</v>
      </c>
      <c r="K23" s="11">
        <v>77.5</v>
      </c>
      <c r="L23" s="11">
        <v>57</v>
      </c>
      <c r="M23" s="11">
        <v>470</v>
      </c>
      <c r="N23" s="11">
        <v>2</v>
      </c>
      <c r="O23" s="11">
        <v>2</v>
      </c>
      <c r="P23" s="11">
        <v>2</v>
      </c>
      <c r="Q23" s="11">
        <v>8.1</v>
      </c>
      <c r="R23" s="11">
        <v>129</v>
      </c>
      <c r="S23" s="11">
        <v>186</v>
      </c>
      <c r="T23" s="11">
        <f t="shared" si="1"/>
        <v>91</v>
      </c>
    </row>
    <row r="24" spans="1:20" x14ac:dyDescent="0.25">
      <c r="A24" s="11">
        <f t="shared" si="0"/>
        <v>23</v>
      </c>
      <c r="B24" s="11">
        <v>16856</v>
      </c>
      <c r="C24" s="11" t="s">
        <v>817</v>
      </c>
      <c r="D24" s="11" t="s">
        <v>139</v>
      </c>
      <c r="E24" s="11" t="s">
        <v>787</v>
      </c>
      <c r="F24" s="11">
        <v>16</v>
      </c>
      <c r="G24" s="11">
        <v>218</v>
      </c>
      <c r="H24" s="11">
        <v>863</v>
      </c>
      <c r="I24" s="11">
        <v>4</v>
      </c>
      <c r="J24" s="11">
        <v>6</v>
      </c>
      <c r="K24" s="11">
        <v>46.1</v>
      </c>
      <c r="L24" s="11">
        <v>32</v>
      </c>
      <c r="M24" s="11">
        <v>319</v>
      </c>
      <c r="N24" s="11">
        <v>1</v>
      </c>
      <c r="O24" s="11">
        <v>4</v>
      </c>
      <c r="P24" s="11">
        <v>4</v>
      </c>
      <c r="Q24" s="11">
        <v>9.5</v>
      </c>
      <c r="R24" s="11">
        <v>152.19999999999999</v>
      </c>
      <c r="S24" s="11">
        <v>184.20000000000002</v>
      </c>
      <c r="T24" s="11">
        <f t="shared" si="1"/>
        <v>89.200000000000017</v>
      </c>
    </row>
    <row r="25" spans="1:20" x14ac:dyDescent="0.25">
      <c r="A25" s="11">
        <f t="shared" si="0"/>
        <v>24</v>
      </c>
      <c r="B25" s="11">
        <v>13124</v>
      </c>
      <c r="C25" s="11" t="s">
        <v>810</v>
      </c>
      <c r="D25" s="11" t="s">
        <v>139</v>
      </c>
      <c r="E25" s="11" t="s">
        <v>783</v>
      </c>
      <c r="F25" s="11">
        <v>16</v>
      </c>
      <c r="G25" s="11">
        <v>209</v>
      </c>
      <c r="H25" s="11">
        <v>898</v>
      </c>
      <c r="I25" s="11">
        <v>4.3</v>
      </c>
      <c r="J25" s="11">
        <v>6</v>
      </c>
      <c r="K25" s="11">
        <v>42.9</v>
      </c>
      <c r="L25" s="11">
        <v>33</v>
      </c>
      <c r="M25" s="11">
        <v>249</v>
      </c>
      <c r="N25" s="11">
        <v>1</v>
      </c>
      <c r="O25" s="11">
        <v>3</v>
      </c>
      <c r="P25" s="11">
        <v>3</v>
      </c>
      <c r="Q25" s="11">
        <v>9.4</v>
      </c>
      <c r="R25" s="11">
        <v>150.69999999999999</v>
      </c>
      <c r="S25" s="11">
        <v>183.70000000000002</v>
      </c>
      <c r="T25" s="11">
        <f t="shared" si="1"/>
        <v>88.700000000000017</v>
      </c>
    </row>
    <row r="26" spans="1:20" x14ac:dyDescent="0.25">
      <c r="A26" s="11">
        <f t="shared" si="0"/>
        <v>25</v>
      </c>
      <c r="B26" s="11">
        <v>5820</v>
      </c>
      <c r="C26" s="11" t="s">
        <v>451</v>
      </c>
      <c r="D26" s="11" t="s">
        <v>139</v>
      </c>
      <c r="E26" s="11" t="s">
        <v>404</v>
      </c>
      <c r="F26" s="11">
        <v>16</v>
      </c>
      <c r="G26" s="11">
        <v>211</v>
      </c>
      <c r="H26" s="11">
        <v>832</v>
      </c>
      <c r="I26" s="11">
        <v>3.9</v>
      </c>
      <c r="J26" s="11">
        <v>7</v>
      </c>
      <c r="K26" s="11">
        <v>42.9</v>
      </c>
      <c r="L26" s="11">
        <v>32</v>
      </c>
      <c r="M26" s="11">
        <v>249</v>
      </c>
      <c r="N26" s="11">
        <v>1</v>
      </c>
      <c r="O26" s="11">
        <v>3</v>
      </c>
      <c r="P26" s="11">
        <v>3</v>
      </c>
      <c r="Q26" s="11">
        <v>9.4</v>
      </c>
      <c r="R26" s="11">
        <v>150.1</v>
      </c>
      <c r="S26" s="11">
        <v>182.1</v>
      </c>
      <c r="T26" s="11">
        <f t="shared" si="1"/>
        <v>87.1</v>
      </c>
    </row>
    <row r="27" spans="1:20" x14ac:dyDescent="0.25">
      <c r="A27" s="11">
        <f t="shared" si="0"/>
        <v>26</v>
      </c>
      <c r="B27" s="11">
        <v>11256</v>
      </c>
      <c r="C27" s="11" t="s">
        <v>681</v>
      </c>
      <c r="D27" s="11" t="s">
        <v>139</v>
      </c>
      <c r="E27" s="11" t="s">
        <v>107</v>
      </c>
      <c r="F27" s="11">
        <v>16</v>
      </c>
      <c r="G27" s="11">
        <v>198</v>
      </c>
      <c r="H27" s="11">
        <v>891</v>
      </c>
      <c r="I27" s="11">
        <v>4.5</v>
      </c>
      <c r="J27" s="11">
        <v>6</v>
      </c>
      <c r="K27" s="11">
        <v>40.9</v>
      </c>
      <c r="L27" s="11">
        <v>31</v>
      </c>
      <c r="M27" s="11">
        <v>228</v>
      </c>
      <c r="N27" s="11">
        <v>1</v>
      </c>
      <c r="O27" s="11">
        <v>3</v>
      </c>
      <c r="P27" s="11">
        <v>3</v>
      </c>
      <c r="Q27" s="11">
        <v>9.1999999999999993</v>
      </c>
      <c r="R27" s="11">
        <v>147.9</v>
      </c>
      <c r="S27" s="11">
        <v>178.9</v>
      </c>
      <c r="T27" s="11">
        <f t="shared" si="1"/>
        <v>83.9</v>
      </c>
    </row>
    <row r="28" spans="1:20" x14ac:dyDescent="0.25">
      <c r="A28" s="11">
        <f t="shared" si="0"/>
        <v>27</v>
      </c>
      <c r="B28" s="11">
        <v>16112</v>
      </c>
      <c r="C28" s="11" t="s">
        <v>302</v>
      </c>
      <c r="D28" s="11" t="s">
        <v>139</v>
      </c>
      <c r="E28" s="11" t="s">
        <v>279</v>
      </c>
      <c r="F28" s="11">
        <v>16</v>
      </c>
      <c r="G28" s="11">
        <v>217</v>
      </c>
      <c r="H28" s="11">
        <v>921</v>
      </c>
      <c r="I28" s="11">
        <v>4.2</v>
      </c>
      <c r="J28" s="11">
        <v>9</v>
      </c>
      <c r="K28" s="11">
        <v>23.4</v>
      </c>
      <c r="L28" s="11">
        <v>18</v>
      </c>
      <c r="M28" s="11">
        <v>128</v>
      </c>
      <c r="N28" s="11">
        <v>1</v>
      </c>
      <c r="O28" s="11">
        <v>3</v>
      </c>
      <c r="P28" s="11">
        <v>3</v>
      </c>
      <c r="Q28" s="11">
        <v>9.9</v>
      </c>
      <c r="R28" s="11">
        <v>158.9</v>
      </c>
      <c r="S28" s="11">
        <v>176.9</v>
      </c>
      <c r="T28" s="11">
        <f t="shared" si="1"/>
        <v>81.900000000000006</v>
      </c>
    </row>
    <row r="29" spans="1:20" x14ac:dyDescent="0.25">
      <c r="A29" s="11">
        <f t="shared" si="0"/>
        <v>28</v>
      </c>
      <c r="B29" s="11">
        <v>5451</v>
      </c>
      <c r="C29" s="11" t="s">
        <v>202</v>
      </c>
      <c r="D29" s="11" t="s">
        <v>139</v>
      </c>
      <c r="E29" s="11" t="s">
        <v>176</v>
      </c>
      <c r="F29" s="11">
        <v>16</v>
      </c>
      <c r="G29" s="11">
        <v>231</v>
      </c>
      <c r="H29" s="11">
        <v>994</v>
      </c>
      <c r="I29" s="11">
        <v>4.3</v>
      </c>
      <c r="J29" s="11">
        <v>6</v>
      </c>
      <c r="K29" s="11">
        <v>30.6</v>
      </c>
      <c r="L29" s="11">
        <v>22</v>
      </c>
      <c r="M29" s="11">
        <v>152</v>
      </c>
      <c r="N29" s="11">
        <v>1</v>
      </c>
      <c r="O29" s="11">
        <v>2</v>
      </c>
      <c r="P29" s="11">
        <v>2</v>
      </c>
      <c r="Q29" s="11">
        <v>9.5</v>
      </c>
      <c r="R29" s="11">
        <v>152.6</v>
      </c>
      <c r="S29" s="11">
        <v>174.6</v>
      </c>
      <c r="T29" s="11">
        <f t="shared" si="1"/>
        <v>79.599999999999994</v>
      </c>
    </row>
    <row r="30" spans="1:20" x14ac:dyDescent="0.25">
      <c r="A30" s="11">
        <f t="shared" si="0"/>
        <v>29</v>
      </c>
      <c r="B30" s="11">
        <v>16776</v>
      </c>
      <c r="C30" s="11" t="s">
        <v>791</v>
      </c>
      <c r="D30" s="11" t="s">
        <v>139</v>
      </c>
      <c r="E30" s="11" t="s">
        <v>768</v>
      </c>
      <c r="F30" s="11">
        <v>16</v>
      </c>
      <c r="G30" s="11">
        <v>227</v>
      </c>
      <c r="H30" s="11">
        <v>879</v>
      </c>
      <c r="I30" s="11">
        <v>3.9</v>
      </c>
      <c r="J30" s="11">
        <v>4</v>
      </c>
      <c r="K30" s="11">
        <v>51.8</v>
      </c>
      <c r="L30" s="11">
        <v>35</v>
      </c>
      <c r="M30" s="11">
        <v>222</v>
      </c>
      <c r="N30" s="11">
        <v>1</v>
      </c>
      <c r="O30" s="11">
        <v>3</v>
      </c>
      <c r="P30" s="11">
        <v>3</v>
      </c>
      <c r="Q30" s="11">
        <v>8.4</v>
      </c>
      <c r="R30" s="11">
        <v>134.1</v>
      </c>
      <c r="S30" s="11">
        <v>169.1</v>
      </c>
      <c r="T30" s="11">
        <f t="shared" si="1"/>
        <v>74.099999999999994</v>
      </c>
    </row>
    <row r="31" spans="1:20" x14ac:dyDescent="0.25">
      <c r="A31" s="11">
        <f t="shared" si="0"/>
        <v>30</v>
      </c>
      <c r="B31" s="11">
        <v>16815</v>
      </c>
      <c r="C31" s="11" t="s">
        <v>433</v>
      </c>
      <c r="D31" s="11" t="s">
        <v>139</v>
      </c>
      <c r="E31" s="11" t="s">
        <v>393</v>
      </c>
      <c r="F31" s="11">
        <v>16</v>
      </c>
      <c r="G31" s="11">
        <v>183</v>
      </c>
      <c r="H31" s="11">
        <v>775</v>
      </c>
      <c r="I31" s="11">
        <v>4.2</v>
      </c>
      <c r="J31" s="11">
        <v>5</v>
      </c>
      <c r="K31" s="11">
        <v>46.2</v>
      </c>
      <c r="L31" s="11">
        <v>34</v>
      </c>
      <c r="M31" s="11">
        <v>255</v>
      </c>
      <c r="N31" s="11">
        <v>1</v>
      </c>
      <c r="O31" s="11">
        <v>2</v>
      </c>
      <c r="P31" s="11">
        <v>2</v>
      </c>
      <c r="Q31" s="11">
        <v>8.4</v>
      </c>
      <c r="R31" s="11">
        <v>135</v>
      </c>
      <c r="S31" s="11">
        <v>169</v>
      </c>
      <c r="T31" s="11">
        <f t="shared" si="1"/>
        <v>74</v>
      </c>
    </row>
    <row r="32" spans="1:20" x14ac:dyDescent="0.25">
      <c r="A32" s="11">
        <f t="shared" si="0"/>
        <v>31</v>
      </c>
      <c r="B32" s="11">
        <v>11792</v>
      </c>
      <c r="C32" s="11" t="s">
        <v>474</v>
      </c>
      <c r="D32" s="11" t="s">
        <v>139</v>
      </c>
      <c r="E32" s="11" t="s">
        <v>421</v>
      </c>
      <c r="F32" s="11">
        <v>16</v>
      </c>
      <c r="G32" s="11">
        <v>163</v>
      </c>
      <c r="H32" s="11">
        <v>659</v>
      </c>
      <c r="I32" s="11">
        <v>4</v>
      </c>
      <c r="J32" s="11">
        <v>4</v>
      </c>
      <c r="K32" s="11">
        <v>51.9</v>
      </c>
      <c r="L32" s="11">
        <v>39</v>
      </c>
      <c r="M32" s="11">
        <v>325</v>
      </c>
      <c r="N32" s="11">
        <v>2</v>
      </c>
      <c r="O32" s="11">
        <v>3</v>
      </c>
      <c r="P32" s="11">
        <v>3</v>
      </c>
      <c r="Q32" s="11">
        <v>8</v>
      </c>
      <c r="R32" s="11">
        <v>128.4</v>
      </c>
      <c r="S32" s="11">
        <v>167.4</v>
      </c>
      <c r="T32" s="11">
        <f t="shared" si="1"/>
        <v>72.400000000000006</v>
      </c>
    </row>
    <row r="33" spans="1:20" x14ac:dyDescent="0.25">
      <c r="A33" s="11">
        <f t="shared" si="0"/>
        <v>32</v>
      </c>
      <c r="B33" s="11">
        <v>8649</v>
      </c>
      <c r="C33" s="11" t="s">
        <v>659</v>
      </c>
      <c r="D33" s="11" t="s">
        <v>139</v>
      </c>
      <c r="E33" s="11" t="s">
        <v>635</v>
      </c>
      <c r="F33" s="11">
        <v>16</v>
      </c>
      <c r="G33" s="11">
        <v>188</v>
      </c>
      <c r="H33" s="11">
        <v>760</v>
      </c>
      <c r="I33" s="11">
        <v>4</v>
      </c>
      <c r="J33" s="11">
        <v>5</v>
      </c>
      <c r="K33" s="11">
        <v>41.2</v>
      </c>
      <c r="L33" s="11">
        <v>31</v>
      </c>
      <c r="M33" s="11">
        <v>263</v>
      </c>
      <c r="N33" s="11">
        <v>1</v>
      </c>
      <c r="O33" s="11">
        <v>2</v>
      </c>
      <c r="P33" s="11">
        <v>2</v>
      </c>
      <c r="Q33" s="11">
        <v>8.4</v>
      </c>
      <c r="R33" s="11">
        <v>134.30000000000001</v>
      </c>
      <c r="S33" s="11">
        <v>165.3</v>
      </c>
      <c r="T33" s="11">
        <f t="shared" si="1"/>
        <v>70.300000000000011</v>
      </c>
    </row>
    <row r="34" spans="1:20" x14ac:dyDescent="0.25">
      <c r="A34" s="11">
        <f t="shared" ref="A34:A65" si="2">_xlfn.RANK.AVG(S34,$S$2:$S$190,0)</f>
        <v>33</v>
      </c>
      <c r="B34" s="11">
        <v>16797</v>
      </c>
      <c r="C34" s="11" t="s">
        <v>457</v>
      </c>
      <c r="D34" s="11" t="s">
        <v>139</v>
      </c>
      <c r="E34" s="11" t="s">
        <v>408</v>
      </c>
      <c r="F34" s="11">
        <v>16</v>
      </c>
      <c r="G34" s="11">
        <v>170</v>
      </c>
      <c r="H34" s="11">
        <v>700</v>
      </c>
      <c r="I34" s="11">
        <v>4.0999999999999996</v>
      </c>
      <c r="J34" s="11">
        <v>4</v>
      </c>
      <c r="K34" s="11">
        <v>54.8</v>
      </c>
      <c r="L34" s="11">
        <v>37</v>
      </c>
      <c r="M34" s="11">
        <v>277</v>
      </c>
      <c r="N34" s="11">
        <v>1</v>
      </c>
      <c r="O34" s="11">
        <v>1</v>
      </c>
      <c r="P34" s="11">
        <v>1</v>
      </c>
      <c r="Q34" s="11">
        <v>7.9</v>
      </c>
      <c r="R34" s="11">
        <v>125.7</v>
      </c>
      <c r="S34" s="11">
        <v>162.69999999999999</v>
      </c>
      <c r="T34" s="11">
        <f t="shared" si="1"/>
        <v>67.699999999999989</v>
      </c>
    </row>
    <row r="35" spans="1:20" x14ac:dyDescent="0.25">
      <c r="A35" s="11">
        <f t="shared" si="2"/>
        <v>34</v>
      </c>
      <c r="B35" s="11">
        <v>15126</v>
      </c>
      <c r="C35" s="11" t="s">
        <v>434</v>
      </c>
      <c r="D35" s="11" t="s">
        <v>139</v>
      </c>
      <c r="E35" s="11" t="s">
        <v>393</v>
      </c>
      <c r="F35" s="11">
        <v>16</v>
      </c>
      <c r="G35" s="11">
        <v>57</v>
      </c>
      <c r="H35" s="11">
        <v>220</v>
      </c>
      <c r="I35" s="11">
        <v>3.9</v>
      </c>
      <c r="J35" s="11">
        <v>1</v>
      </c>
      <c r="K35" s="11">
        <v>87.3</v>
      </c>
      <c r="L35" s="11">
        <v>59</v>
      </c>
      <c r="M35" s="11">
        <v>511</v>
      </c>
      <c r="N35" s="11">
        <v>3</v>
      </c>
      <c r="O35" s="11">
        <v>1</v>
      </c>
      <c r="P35" s="11">
        <v>1</v>
      </c>
      <c r="Q35" s="11">
        <v>5.9</v>
      </c>
      <c r="R35" s="11">
        <v>95.1</v>
      </c>
      <c r="S35" s="11">
        <v>154.1</v>
      </c>
      <c r="T35" s="11">
        <f t="shared" si="1"/>
        <v>59.099999999999994</v>
      </c>
    </row>
    <row r="36" spans="1:20" x14ac:dyDescent="0.25">
      <c r="A36" s="11">
        <f t="shared" si="2"/>
        <v>35</v>
      </c>
      <c r="B36" s="11">
        <v>16609</v>
      </c>
      <c r="C36" s="11" t="s">
        <v>806</v>
      </c>
      <c r="D36" s="11" t="s">
        <v>139</v>
      </c>
      <c r="E36" s="11" t="s">
        <v>779</v>
      </c>
      <c r="F36" s="11">
        <v>16</v>
      </c>
      <c r="G36" s="11">
        <v>101</v>
      </c>
      <c r="H36" s="11">
        <v>441</v>
      </c>
      <c r="I36" s="11">
        <v>4.4000000000000004</v>
      </c>
      <c r="J36" s="11">
        <v>2</v>
      </c>
      <c r="K36" s="11">
        <v>64.400000000000006</v>
      </c>
      <c r="L36" s="11">
        <v>45</v>
      </c>
      <c r="M36" s="11">
        <v>427</v>
      </c>
      <c r="N36" s="11">
        <v>2</v>
      </c>
      <c r="O36" s="11">
        <v>2</v>
      </c>
      <c r="P36" s="11">
        <v>2</v>
      </c>
      <c r="Q36" s="11">
        <v>6.7</v>
      </c>
      <c r="R36" s="11">
        <v>106.8</v>
      </c>
      <c r="S36" s="11">
        <v>151.80000000000001</v>
      </c>
      <c r="T36" s="11">
        <f t="shared" si="1"/>
        <v>56.800000000000011</v>
      </c>
    </row>
    <row r="37" spans="1:20" x14ac:dyDescent="0.25">
      <c r="A37" s="11">
        <f t="shared" si="2"/>
        <v>36</v>
      </c>
      <c r="B37" s="11">
        <v>6198</v>
      </c>
      <c r="C37" s="11" t="s">
        <v>682</v>
      </c>
      <c r="D37" s="11" t="s">
        <v>139</v>
      </c>
      <c r="E37" s="11" t="s">
        <v>107</v>
      </c>
      <c r="F37" s="11">
        <v>16</v>
      </c>
      <c r="G37" s="11">
        <v>76</v>
      </c>
      <c r="H37" s="11">
        <v>340</v>
      </c>
      <c r="I37" s="11">
        <v>4.5</v>
      </c>
      <c r="J37" s="11">
        <v>3</v>
      </c>
      <c r="K37" s="11">
        <v>72</v>
      </c>
      <c r="L37" s="11">
        <v>50</v>
      </c>
      <c r="M37" s="11">
        <v>389</v>
      </c>
      <c r="N37" s="11">
        <v>2</v>
      </c>
      <c r="O37" s="11">
        <v>1</v>
      </c>
      <c r="P37" s="11">
        <v>1</v>
      </c>
      <c r="Q37" s="11">
        <v>6.3</v>
      </c>
      <c r="R37" s="11">
        <v>100.9</v>
      </c>
      <c r="S37" s="11">
        <v>150.9</v>
      </c>
      <c r="T37" s="11">
        <f t="shared" si="1"/>
        <v>55.900000000000006</v>
      </c>
    </row>
    <row r="38" spans="1:20" x14ac:dyDescent="0.25">
      <c r="A38" s="11">
        <f t="shared" si="2"/>
        <v>37</v>
      </c>
      <c r="B38" s="11">
        <v>12780</v>
      </c>
      <c r="C38" s="11" t="s">
        <v>660</v>
      </c>
      <c r="D38" s="11" t="s">
        <v>139</v>
      </c>
      <c r="E38" s="11" t="s">
        <v>635</v>
      </c>
      <c r="F38" s="11">
        <v>16</v>
      </c>
      <c r="G38" s="11">
        <v>68</v>
      </c>
      <c r="H38" s="11">
        <v>279</v>
      </c>
      <c r="I38" s="11">
        <v>4.0999999999999996</v>
      </c>
      <c r="J38" s="11">
        <v>2</v>
      </c>
      <c r="K38" s="11">
        <v>72.099999999999994</v>
      </c>
      <c r="L38" s="11">
        <v>53</v>
      </c>
      <c r="M38" s="11">
        <v>443</v>
      </c>
      <c r="N38" s="11">
        <v>2</v>
      </c>
      <c r="O38" s="11">
        <v>1</v>
      </c>
      <c r="P38" s="11">
        <v>1</v>
      </c>
      <c r="Q38" s="11">
        <v>5.9</v>
      </c>
      <c r="R38" s="11">
        <v>94.2</v>
      </c>
      <c r="S38" s="11">
        <v>147.19999999999999</v>
      </c>
      <c r="T38" s="11">
        <f t="shared" si="1"/>
        <v>52.199999999999989</v>
      </c>
    </row>
    <row r="39" spans="1:20" x14ac:dyDescent="0.25">
      <c r="A39" s="11">
        <f t="shared" si="2"/>
        <v>38</v>
      </c>
      <c r="B39" s="11">
        <v>9369</v>
      </c>
      <c r="C39" s="11" t="s">
        <v>186</v>
      </c>
      <c r="D39" s="11" t="s">
        <v>139</v>
      </c>
      <c r="E39" s="11" t="s">
        <v>167</v>
      </c>
      <c r="F39" s="11">
        <v>16</v>
      </c>
      <c r="G39" s="11">
        <v>157</v>
      </c>
      <c r="H39" s="11">
        <v>700</v>
      </c>
      <c r="I39" s="11">
        <v>4.5</v>
      </c>
      <c r="J39" s="11">
        <v>4</v>
      </c>
      <c r="K39" s="11">
        <v>38.1</v>
      </c>
      <c r="L39" s="11">
        <v>28</v>
      </c>
      <c r="M39" s="11">
        <v>182</v>
      </c>
      <c r="N39" s="11">
        <v>1</v>
      </c>
      <c r="O39" s="11">
        <v>1</v>
      </c>
      <c r="P39" s="11">
        <v>1</v>
      </c>
      <c r="Q39" s="11">
        <v>7.3</v>
      </c>
      <c r="R39" s="11">
        <v>116.2</v>
      </c>
      <c r="S39" s="11">
        <v>144.19999999999999</v>
      </c>
      <c r="T39" s="11">
        <f t="shared" si="1"/>
        <v>49.199999999999989</v>
      </c>
    </row>
    <row r="40" spans="1:20" x14ac:dyDescent="0.25">
      <c r="A40" s="11">
        <f t="shared" si="2"/>
        <v>39</v>
      </c>
      <c r="B40" s="11">
        <v>16127</v>
      </c>
      <c r="C40" s="11" t="s">
        <v>306</v>
      </c>
      <c r="D40" s="11" t="s">
        <v>139</v>
      </c>
      <c r="E40" s="11" t="s">
        <v>283</v>
      </c>
      <c r="F40" s="11">
        <v>16</v>
      </c>
      <c r="G40" s="11">
        <v>173</v>
      </c>
      <c r="H40" s="11">
        <v>702</v>
      </c>
      <c r="I40" s="11">
        <v>4.0999999999999996</v>
      </c>
      <c r="J40" s="11">
        <v>5</v>
      </c>
      <c r="K40" s="11">
        <v>29.4</v>
      </c>
      <c r="L40" s="11">
        <v>20</v>
      </c>
      <c r="M40" s="11">
        <v>173</v>
      </c>
      <c r="N40" s="11">
        <v>1</v>
      </c>
      <c r="O40" s="11">
        <v>1</v>
      </c>
      <c r="P40" s="11">
        <v>1</v>
      </c>
      <c r="Q40" s="11">
        <v>7.6</v>
      </c>
      <c r="R40" s="11">
        <v>121.5</v>
      </c>
      <c r="S40" s="11">
        <v>141.5</v>
      </c>
      <c r="T40" s="11">
        <f t="shared" si="1"/>
        <v>46.5</v>
      </c>
    </row>
    <row r="41" spans="1:20" x14ac:dyDescent="0.25">
      <c r="A41" s="11">
        <f t="shared" si="2"/>
        <v>40</v>
      </c>
      <c r="B41" s="11">
        <v>12239</v>
      </c>
      <c r="C41" s="11" t="s">
        <v>458</v>
      </c>
      <c r="D41" s="11" t="s">
        <v>139</v>
      </c>
      <c r="E41" s="11" t="s">
        <v>408</v>
      </c>
      <c r="F41" s="11">
        <v>16</v>
      </c>
      <c r="G41" s="11">
        <v>163</v>
      </c>
      <c r="H41" s="11">
        <v>693</v>
      </c>
      <c r="I41" s="11">
        <v>4.3</v>
      </c>
      <c r="J41" s="11">
        <v>5</v>
      </c>
      <c r="K41" s="11">
        <v>32.9</v>
      </c>
      <c r="L41" s="11">
        <v>23</v>
      </c>
      <c r="M41" s="11">
        <v>161</v>
      </c>
      <c r="N41" s="11">
        <v>1</v>
      </c>
      <c r="O41" s="11">
        <v>2</v>
      </c>
      <c r="P41" s="11">
        <v>2</v>
      </c>
      <c r="Q41" s="11">
        <v>7.3</v>
      </c>
      <c r="R41" s="11">
        <v>117.4</v>
      </c>
      <c r="S41" s="11">
        <v>140.4</v>
      </c>
      <c r="T41" s="11">
        <f t="shared" si="1"/>
        <v>45.400000000000006</v>
      </c>
    </row>
    <row r="42" spans="1:20" x14ac:dyDescent="0.25">
      <c r="A42" s="11">
        <f t="shared" si="2"/>
        <v>41</v>
      </c>
      <c r="B42" s="11">
        <v>12800</v>
      </c>
      <c r="C42" s="11" t="s">
        <v>668</v>
      </c>
      <c r="D42" s="11" t="s">
        <v>139</v>
      </c>
      <c r="E42" s="11" t="s">
        <v>639</v>
      </c>
      <c r="F42" s="11">
        <v>16</v>
      </c>
      <c r="G42" s="11">
        <v>116</v>
      </c>
      <c r="H42" s="11">
        <v>478</v>
      </c>
      <c r="I42" s="11">
        <v>4.0999999999999996</v>
      </c>
      <c r="J42" s="11">
        <v>2</v>
      </c>
      <c r="K42" s="11">
        <v>52.2</v>
      </c>
      <c r="L42" s="11">
        <v>36</v>
      </c>
      <c r="M42" s="11">
        <v>292</v>
      </c>
      <c r="N42" s="11">
        <v>1</v>
      </c>
      <c r="O42" s="11">
        <v>1</v>
      </c>
      <c r="P42" s="11">
        <v>1</v>
      </c>
      <c r="Q42" s="11">
        <v>5.8</v>
      </c>
      <c r="R42" s="11">
        <v>93</v>
      </c>
      <c r="S42" s="11">
        <v>129</v>
      </c>
      <c r="T42" s="11">
        <f t="shared" si="1"/>
        <v>34</v>
      </c>
    </row>
    <row r="43" spans="1:20" x14ac:dyDescent="0.25">
      <c r="A43" s="11">
        <f t="shared" si="2"/>
        <v>42</v>
      </c>
      <c r="B43" s="11">
        <v>7580</v>
      </c>
      <c r="C43" s="11" t="s">
        <v>686</v>
      </c>
      <c r="D43" s="11" t="s">
        <v>139</v>
      </c>
      <c r="E43" s="11" t="s">
        <v>648</v>
      </c>
      <c r="F43" s="11">
        <v>16</v>
      </c>
      <c r="G43" s="11">
        <v>130</v>
      </c>
      <c r="H43" s="11">
        <v>589</v>
      </c>
      <c r="I43" s="11">
        <v>4.5</v>
      </c>
      <c r="J43" s="11">
        <v>4</v>
      </c>
      <c r="K43" s="11">
        <v>30.2</v>
      </c>
      <c r="L43" s="11">
        <v>21</v>
      </c>
      <c r="M43" s="11">
        <v>177</v>
      </c>
      <c r="N43" s="11">
        <v>1</v>
      </c>
      <c r="O43" s="11">
        <v>1</v>
      </c>
      <c r="P43" s="11">
        <v>1</v>
      </c>
      <c r="Q43" s="11">
        <v>6.5</v>
      </c>
      <c r="R43" s="11">
        <v>104.6</v>
      </c>
      <c r="S43" s="11">
        <v>125.60000000000001</v>
      </c>
      <c r="T43" s="11">
        <f t="shared" si="1"/>
        <v>30.600000000000009</v>
      </c>
    </row>
    <row r="44" spans="1:20" x14ac:dyDescent="0.25">
      <c r="A44" s="11">
        <f t="shared" si="2"/>
        <v>43</v>
      </c>
      <c r="B44" s="11">
        <v>12296</v>
      </c>
      <c r="C44" s="11" t="s">
        <v>486</v>
      </c>
      <c r="D44" s="11" t="s">
        <v>139</v>
      </c>
      <c r="E44" s="11" t="s">
        <v>430</v>
      </c>
      <c r="F44" s="11">
        <v>16</v>
      </c>
      <c r="G44" s="11">
        <v>168</v>
      </c>
      <c r="H44" s="11">
        <v>686</v>
      </c>
      <c r="I44" s="11">
        <v>4.0999999999999996</v>
      </c>
      <c r="J44" s="11">
        <v>6</v>
      </c>
      <c r="K44" s="11">
        <v>15.3</v>
      </c>
      <c r="L44" s="11">
        <v>11</v>
      </c>
      <c r="M44" s="11">
        <v>75</v>
      </c>
      <c r="N44" s="11">
        <v>0</v>
      </c>
      <c r="O44" s="11">
        <v>1</v>
      </c>
      <c r="P44" s="11">
        <v>1</v>
      </c>
      <c r="Q44" s="11">
        <v>6.9</v>
      </c>
      <c r="R44" s="11">
        <v>110.1</v>
      </c>
      <c r="S44" s="11">
        <v>121.1</v>
      </c>
      <c r="T44" s="11">
        <f t="shared" si="1"/>
        <v>26.099999999999994</v>
      </c>
    </row>
    <row r="45" spans="1:20" x14ac:dyDescent="0.25">
      <c r="A45" s="11">
        <f t="shared" si="2"/>
        <v>44</v>
      </c>
      <c r="B45" s="11">
        <v>16909</v>
      </c>
      <c r="C45" s="11" t="s">
        <v>475</v>
      </c>
      <c r="D45" s="11" t="s">
        <v>139</v>
      </c>
      <c r="E45" s="11" t="s">
        <v>421</v>
      </c>
      <c r="F45" s="11">
        <v>16</v>
      </c>
      <c r="G45" s="11">
        <v>132</v>
      </c>
      <c r="H45" s="11">
        <v>564</v>
      </c>
      <c r="I45" s="11">
        <v>4.3</v>
      </c>
      <c r="J45" s="11">
        <v>3</v>
      </c>
      <c r="K45" s="11">
        <v>31.7</v>
      </c>
      <c r="L45" s="11">
        <v>23</v>
      </c>
      <c r="M45" s="11">
        <v>178</v>
      </c>
      <c r="N45" s="11">
        <v>1</v>
      </c>
      <c r="O45" s="11">
        <v>1</v>
      </c>
      <c r="P45" s="11">
        <v>1</v>
      </c>
      <c r="Q45" s="11">
        <v>6</v>
      </c>
      <c r="R45" s="11">
        <v>96.2</v>
      </c>
      <c r="S45" s="11">
        <v>119.2</v>
      </c>
      <c r="T45" s="11">
        <f t="shared" si="1"/>
        <v>24.200000000000003</v>
      </c>
    </row>
    <row r="46" spans="1:20" x14ac:dyDescent="0.25">
      <c r="A46" s="11">
        <f t="shared" si="2"/>
        <v>45</v>
      </c>
      <c r="B46" s="11">
        <v>12506</v>
      </c>
      <c r="C46" s="11" t="s">
        <v>441</v>
      </c>
      <c r="D46" s="11" t="s">
        <v>139</v>
      </c>
      <c r="E46" s="11" t="s">
        <v>397</v>
      </c>
      <c r="F46" s="11">
        <v>16</v>
      </c>
      <c r="G46" s="11">
        <v>120</v>
      </c>
      <c r="H46" s="11">
        <v>496</v>
      </c>
      <c r="I46" s="11">
        <v>4.0999999999999996</v>
      </c>
      <c r="J46" s="11">
        <v>3</v>
      </c>
      <c r="K46" s="11">
        <v>34.6</v>
      </c>
      <c r="L46" s="11">
        <v>26</v>
      </c>
      <c r="M46" s="11">
        <v>208</v>
      </c>
      <c r="N46" s="11">
        <v>1</v>
      </c>
      <c r="O46" s="11">
        <v>2</v>
      </c>
      <c r="P46" s="11">
        <v>2</v>
      </c>
      <c r="Q46" s="11">
        <v>5.6</v>
      </c>
      <c r="R46" s="11">
        <v>90.4</v>
      </c>
      <c r="S46" s="11">
        <v>116.39999999999999</v>
      </c>
      <c r="T46" s="11">
        <f t="shared" si="1"/>
        <v>21.399999999999991</v>
      </c>
    </row>
    <row r="47" spans="1:20" x14ac:dyDescent="0.25">
      <c r="A47" s="11">
        <f t="shared" si="2"/>
        <v>46</v>
      </c>
      <c r="B47" s="11">
        <v>17965</v>
      </c>
      <c r="C47" s="11" t="s">
        <v>795</v>
      </c>
      <c r="D47" s="11" t="s">
        <v>139</v>
      </c>
      <c r="E47" s="11" t="s">
        <v>772</v>
      </c>
      <c r="F47" s="11">
        <v>16</v>
      </c>
      <c r="G47" s="11">
        <v>76</v>
      </c>
      <c r="H47" s="11">
        <v>337</v>
      </c>
      <c r="I47" s="11">
        <v>4.4000000000000004</v>
      </c>
      <c r="J47" s="11">
        <v>2</v>
      </c>
      <c r="K47" s="11">
        <v>45.9</v>
      </c>
      <c r="L47" s="11">
        <v>35</v>
      </c>
      <c r="M47" s="11">
        <v>278</v>
      </c>
      <c r="N47" s="11">
        <v>1</v>
      </c>
      <c r="O47" s="11">
        <v>1</v>
      </c>
      <c r="P47" s="11">
        <v>1</v>
      </c>
      <c r="Q47" s="11">
        <v>4.8</v>
      </c>
      <c r="R47" s="11">
        <v>77.5</v>
      </c>
      <c r="S47" s="11">
        <v>112.5</v>
      </c>
      <c r="T47" s="11">
        <f t="shared" si="1"/>
        <v>17.5</v>
      </c>
    </row>
    <row r="48" spans="1:20" x14ac:dyDescent="0.25">
      <c r="A48" s="11">
        <f t="shared" si="2"/>
        <v>47</v>
      </c>
      <c r="B48" s="11">
        <v>17959</v>
      </c>
      <c r="C48" s="11" t="s">
        <v>811</v>
      </c>
      <c r="D48" s="11" t="s">
        <v>139</v>
      </c>
      <c r="E48" s="11" t="s">
        <v>783</v>
      </c>
      <c r="F48" s="11">
        <v>16</v>
      </c>
      <c r="G48" s="11">
        <v>134</v>
      </c>
      <c r="H48" s="11">
        <v>567</v>
      </c>
      <c r="I48" s="11">
        <v>4.2</v>
      </c>
      <c r="J48" s="11">
        <v>4</v>
      </c>
      <c r="K48" s="11">
        <v>22.4</v>
      </c>
      <c r="L48" s="11">
        <v>15</v>
      </c>
      <c r="M48" s="11">
        <v>134</v>
      </c>
      <c r="N48" s="11">
        <v>1</v>
      </c>
      <c r="O48" s="11">
        <v>2</v>
      </c>
      <c r="P48" s="11">
        <v>2</v>
      </c>
      <c r="Q48" s="11">
        <v>6</v>
      </c>
      <c r="R48" s="11">
        <v>96.1</v>
      </c>
      <c r="S48" s="11">
        <v>111.10000000000001</v>
      </c>
      <c r="T48" s="11">
        <f t="shared" si="1"/>
        <v>16.100000000000009</v>
      </c>
    </row>
    <row r="49" spans="1:20" x14ac:dyDescent="0.25">
      <c r="A49" s="11">
        <f t="shared" si="2"/>
        <v>48</v>
      </c>
      <c r="B49" s="11">
        <v>16886</v>
      </c>
      <c r="C49" s="11" t="s">
        <v>187</v>
      </c>
      <c r="D49" s="11" t="s">
        <v>139</v>
      </c>
      <c r="E49" s="11" t="s">
        <v>167</v>
      </c>
      <c r="F49" s="11">
        <v>16</v>
      </c>
      <c r="G49" s="11">
        <v>104</v>
      </c>
      <c r="H49" s="11">
        <v>409</v>
      </c>
      <c r="I49" s="11">
        <v>3.9</v>
      </c>
      <c r="J49" s="11">
        <v>3</v>
      </c>
      <c r="K49" s="11">
        <v>35.9</v>
      </c>
      <c r="L49" s="11">
        <v>26</v>
      </c>
      <c r="M49" s="11">
        <v>202</v>
      </c>
      <c r="N49" s="11">
        <v>1</v>
      </c>
      <c r="O49" s="11">
        <v>2</v>
      </c>
      <c r="P49" s="11">
        <v>2</v>
      </c>
      <c r="Q49" s="11">
        <v>5.0999999999999996</v>
      </c>
      <c r="R49" s="11">
        <v>81.099999999999994</v>
      </c>
      <c r="S49" s="11">
        <v>107.10000000000001</v>
      </c>
      <c r="T49" s="11">
        <f t="shared" si="1"/>
        <v>12.100000000000009</v>
      </c>
    </row>
    <row r="50" spans="1:20" x14ac:dyDescent="0.25">
      <c r="A50">
        <f t="shared" si="2"/>
        <v>49</v>
      </c>
      <c r="B50">
        <v>15102</v>
      </c>
      <c r="C50" t="s">
        <v>818</v>
      </c>
      <c r="D50" t="s">
        <v>139</v>
      </c>
      <c r="E50" t="s">
        <v>787</v>
      </c>
      <c r="F50">
        <v>16</v>
      </c>
      <c r="G50">
        <v>52</v>
      </c>
      <c r="H50">
        <v>205</v>
      </c>
      <c r="I50">
        <v>3.9</v>
      </c>
      <c r="J50">
        <v>1</v>
      </c>
      <c r="K50">
        <v>53.4</v>
      </c>
      <c r="L50">
        <v>39</v>
      </c>
      <c r="M50">
        <v>302</v>
      </c>
      <c r="N50">
        <v>2</v>
      </c>
      <c r="O50">
        <v>2</v>
      </c>
      <c r="P50">
        <v>2</v>
      </c>
      <c r="Q50">
        <v>4</v>
      </c>
      <c r="R50">
        <v>64.7</v>
      </c>
      <c r="S50">
        <v>103.7</v>
      </c>
      <c r="T50">
        <f t="shared" si="1"/>
        <v>8.7000000000000028</v>
      </c>
    </row>
    <row r="51" spans="1:20" x14ac:dyDescent="0.25">
      <c r="A51">
        <f t="shared" si="2"/>
        <v>50</v>
      </c>
      <c r="B51">
        <v>18067</v>
      </c>
      <c r="C51" t="s">
        <v>296</v>
      </c>
      <c r="D51" t="s">
        <v>139</v>
      </c>
      <c r="E51" t="s">
        <v>273</v>
      </c>
      <c r="F51">
        <v>16</v>
      </c>
      <c r="G51">
        <v>113</v>
      </c>
      <c r="H51">
        <v>457</v>
      </c>
      <c r="I51">
        <v>4</v>
      </c>
      <c r="J51">
        <v>3</v>
      </c>
      <c r="K51">
        <v>27.4</v>
      </c>
      <c r="L51">
        <v>20</v>
      </c>
      <c r="M51">
        <v>154</v>
      </c>
      <c r="N51">
        <v>1</v>
      </c>
      <c r="O51">
        <v>1</v>
      </c>
      <c r="P51">
        <v>1</v>
      </c>
      <c r="Q51">
        <v>5.2</v>
      </c>
      <c r="R51">
        <v>83.1</v>
      </c>
      <c r="S51">
        <v>103.10000000000001</v>
      </c>
      <c r="T51">
        <f t="shared" si="1"/>
        <v>8.1000000000000085</v>
      </c>
    </row>
    <row r="52" spans="1:20" x14ac:dyDescent="0.25">
      <c r="A52" s="11">
        <f t="shared" si="2"/>
        <v>51</v>
      </c>
      <c r="B52" s="11">
        <v>16834</v>
      </c>
      <c r="C52" s="11" t="s">
        <v>180</v>
      </c>
      <c r="D52" s="11" t="s">
        <v>139</v>
      </c>
      <c r="E52" s="11" t="s">
        <v>162</v>
      </c>
      <c r="F52" s="11">
        <v>16</v>
      </c>
      <c r="G52" s="11">
        <v>110</v>
      </c>
      <c r="H52" s="11">
        <v>457</v>
      </c>
      <c r="I52" s="11">
        <v>4.2</v>
      </c>
      <c r="J52" s="11">
        <v>3</v>
      </c>
      <c r="K52" s="11">
        <v>28.1</v>
      </c>
      <c r="L52" s="11">
        <v>21</v>
      </c>
      <c r="M52" s="11">
        <v>143</v>
      </c>
      <c r="N52" s="11">
        <v>1</v>
      </c>
      <c r="O52" s="11">
        <v>2</v>
      </c>
      <c r="P52" s="11">
        <v>2</v>
      </c>
      <c r="Q52" s="11">
        <v>5</v>
      </c>
      <c r="R52" s="11">
        <v>80</v>
      </c>
      <c r="S52" s="11">
        <v>101</v>
      </c>
      <c r="T52" s="11">
        <f t="shared" si="1"/>
        <v>6</v>
      </c>
    </row>
    <row r="53" spans="1:20" x14ac:dyDescent="0.25">
      <c r="A53" s="11">
        <f t="shared" si="2"/>
        <v>52</v>
      </c>
      <c r="B53" s="11">
        <v>16510</v>
      </c>
      <c r="C53" s="11" t="s">
        <v>481</v>
      </c>
      <c r="D53" s="11" t="s">
        <v>139</v>
      </c>
      <c r="E53" s="11" t="s">
        <v>426</v>
      </c>
      <c r="F53" s="11">
        <v>16</v>
      </c>
      <c r="G53" s="11">
        <v>77</v>
      </c>
      <c r="H53" s="11">
        <v>356</v>
      </c>
      <c r="I53" s="11">
        <v>4.5999999999999996</v>
      </c>
      <c r="J53" s="11">
        <v>2</v>
      </c>
      <c r="K53" s="11">
        <v>41.7</v>
      </c>
      <c r="L53" s="11">
        <v>28</v>
      </c>
      <c r="M53" s="11">
        <v>209</v>
      </c>
      <c r="N53" s="11">
        <v>1</v>
      </c>
      <c r="O53" s="11">
        <v>1</v>
      </c>
      <c r="P53" s="11">
        <v>1</v>
      </c>
      <c r="Q53" s="11">
        <v>4.5</v>
      </c>
      <c r="R53" s="11">
        <v>72.5</v>
      </c>
      <c r="S53" s="11">
        <v>100.5</v>
      </c>
      <c r="T53" s="11">
        <f t="shared" si="1"/>
        <v>5.5</v>
      </c>
    </row>
    <row r="54" spans="1:20" x14ac:dyDescent="0.25">
      <c r="A54" s="11">
        <f t="shared" si="2"/>
        <v>53</v>
      </c>
      <c r="B54" s="11">
        <v>18061</v>
      </c>
      <c r="C54" s="11" t="s">
        <v>675</v>
      </c>
      <c r="D54" s="11" t="s">
        <v>139</v>
      </c>
      <c r="E54" s="11" t="s">
        <v>644</v>
      </c>
      <c r="F54" s="11">
        <v>16</v>
      </c>
      <c r="G54" s="11">
        <v>79</v>
      </c>
      <c r="H54" s="11">
        <v>319</v>
      </c>
      <c r="I54" s="11">
        <v>4</v>
      </c>
      <c r="J54" s="11">
        <v>2</v>
      </c>
      <c r="K54" s="11">
        <v>36.200000000000003</v>
      </c>
      <c r="L54" s="11">
        <v>27</v>
      </c>
      <c r="M54" s="11">
        <v>209</v>
      </c>
      <c r="N54" s="11">
        <v>1</v>
      </c>
      <c r="O54" s="11">
        <v>2</v>
      </c>
      <c r="P54" s="11">
        <v>2</v>
      </c>
      <c r="Q54" s="11">
        <v>4.2</v>
      </c>
      <c r="R54" s="11">
        <v>66.8</v>
      </c>
      <c r="S54" s="11">
        <v>93.800000000000011</v>
      </c>
      <c r="T54" s="11">
        <f t="shared" si="1"/>
        <v>-1.1999999999999886</v>
      </c>
    </row>
    <row r="55" spans="1:20" x14ac:dyDescent="0.25">
      <c r="A55">
        <f t="shared" si="2"/>
        <v>54</v>
      </c>
      <c r="B55">
        <v>8066</v>
      </c>
      <c r="C55" t="s">
        <v>313</v>
      </c>
      <c r="D55" t="s">
        <v>139</v>
      </c>
      <c r="E55" t="s">
        <v>288</v>
      </c>
      <c r="F55">
        <v>16</v>
      </c>
      <c r="G55">
        <v>86</v>
      </c>
      <c r="H55">
        <v>374</v>
      </c>
      <c r="I55">
        <v>4.3</v>
      </c>
      <c r="J55">
        <v>3</v>
      </c>
      <c r="K55">
        <v>28.4</v>
      </c>
      <c r="L55">
        <v>20</v>
      </c>
      <c r="M55">
        <v>156</v>
      </c>
      <c r="N55">
        <v>1</v>
      </c>
      <c r="O55">
        <v>2</v>
      </c>
      <c r="P55">
        <v>2</v>
      </c>
      <c r="Q55">
        <v>4.5999999999999996</v>
      </c>
      <c r="R55">
        <v>73</v>
      </c>
      <c r="S55">
        <v>93</v>
      </c>
      <c r="T55">
        <f t="shared" si="1"/>
        <v>-2</v>
      </c>
    </row>
    <row r="56" spans="1:20" x14ac:dyDescent="0.25">
      <c r="A56">
        <f t="shared" si="2"/>
        <v>55</v>
      </c>
      <c r="B56">
        <v>18217</v>
      </c>
      <c r="C56" t="s">
        <v>452</v>
      </c>
      <c r="D56" t="s">
        <v>139</v>
      </c>
      <c r="E56" t="s">
        <v>404</v>
      </c>
      <c r="F56">
        <v>16</v>
      </c>
      <c r="G56">
        <v>88</v>
      </c>
      <c r="H56">
        <v>366</v>
      </c>
      <c r="I56">
        <v>4.2</v>
      </c>
      <c r="J56">
        <v>2</v>
      </c>
      <c r="K56">
        <v>31.7</v>
      </c>
      <c r="L56">
        <v>22</v>
      </c>
      <c r="M56">
        <v>171</v>
      </c>
      <c r="N56">
        <v>1</v>
      </c>
      <c r="O56">
        <v>2</v>
      </c>
      <c r="P56">
        <v>2</v>
      </c>
      <c r="Q56">
        <v>4.2</v>
      </c>
      <c r="R56">
        <v>67.7</v>
      </c>
      <c r="S56">
        <v>89.699999999999989</v>
      </c>
      <c r="T56">
        <f t="shared" si="1"/>
        <v>-5.3000000000000114</v>
      </c>
    </row>
    <row r="57" spans="1:20" x14ac:dyDescent="0.25">
      <c r="A57">
        <f t="shared" si="2"/>
        <v>56</v>
      </c>
      <c r="B57">
        <v>13158</v>
      </c>
      <c r="C57" t="s">
        <v>799</v>
      </c>
      <c r="D57" t="s">
        <v>139</v>
      </c>
      <c r="E57" t="s">
        <v>774</v>
      </c>
      <c r="F57">
        <v>16</v>
      </c>
      <c r="G57">
        <v>78</v>
      </c>
      <c r="H57">
        <v>296</v>
      </c>
      <c r="I57">
        <v>3.8</v>
      </c>
      <c r="J57">
        <v>2</v>
      </c>
      <c r="K57">
        <v>42.1</v>
      </c>
      <c r="L57">
        <v>29</v>
      </c>
      <c r="M57">
        <v>194</v>
      </c>
      <c r="N57">
        <v>0</v>
      </c>
      <c r="O57">
        <v>1</v>
      </c>
      <c r="P57">
        <v>1</v>
      </c>
      <c r="Q57">
        <v>3.7</v>
      </c>
      <c r="R57">
        <v>59</v>
      </c>
      <c r="S57">
        <v>88</v>
      </c>
      <c r="T57">
        <f t="shared" si="1"/>
        <v>-7</v>
      </c>
    </row>
    <row r="58" spans="1:20" x14ac:dyDescent="0.25">
      <c r="A58">
        <f t="shared" si="2"/>
        <v>57</v>
      </c>
      <c r="B58">
        <v>2262</v>
      </c>
      <c r="C58" t="s">
        <v>652</v>
      </c>
      <c r="D58" t="s">
        <v>139</v>
      </c>
      <c r="E58" t="s">
        <v>631</v>
      </c>
      <c r="F58">
        <v>16</v>
      </c>
      <c r="G58">
        <v>74</v>
      </c>
      <c r="H58">
        <v>297</v>
      </c>
      <c r="I58">
        <v>4</v>
      </c>
      <c r="J58">
        <v>4</v>
      </c>
      <c r="K58">
        <v>26.4</v>
      </c>
      <c r="L58">
        <v>19</v>
      </c>
      <c r="M58">
        <v>157</v>
      </c>
      <c r="N58">
        <v>0</v>
      </c>
      <c r="O58">
        <v>1</v>
      </c>
      <c r="P58">
        <v>1</v>
      </c>
      <c r="Q58">
        <v>4.2</v>
      </c>
      <c r="R58">
        <v>67.400000000000006</v>
      </c>
      <c r="S58">
        <v>86.4</v>
      </c>
      <c r="T58">
        <f t="shared" si="1"/>
        <v>-8.5999999999999943</v>
      </c>
    </row>
    <row r="59" spans="1:20" x14ac:dyDescent="0.25">
      <c r="A59">
        <f t="shared" si="2"/>
        <v>58</v>
      </c>
      <c r="B59">
        <v>15207</v>
      </c>
      <c r="C59" t="s">
        <v>470</v>
      </c>
      <c r="D59" t="s">
        <v>139</v>
      </c>
      <c r="E59" t="s">
        <v>417</v>
      </c>
      <c r="F59">
        <v>16</v>
      </c>
      <c r="G59">
        <v>61</v>
      </c>
      <c r="H59">
        <v>238</v>
      </c>
      <c r="I59">
        <v>3.9</v>
      </c>
      <c r="J59">
        <v>1</v>
      </c>
      <c r="K59">
        <v>38.9</v>
      </c>
      <c r="L59">
        <v>29</v>
      </c>
      <c r="M59">
        <v>230</v>
      </c>
      <c r="N59">
        <v>1</v>
      </c>
      <c r="O59">
        <v>1</v>
      </c>
      <c r="P59">
        <v>1</v>
      </c>
      <c r="Q59">
        <v>3.6</v>
      </c>
      <c r="R59">
        <v>56.8</v>
      </c>
      <c r="S59">
        <v>85.8</v>
      </c>
      <c r="T59">
        <f t="shared" si="1"/>
        <v>-9.2000000000000028</v>
      </c>
    </row>
    <row r="60" spans="1:20" x14ac:dyDescent="0.25">
      <c r="A60">
        <f t="shared" si="2"/>
        <v>59</v>
      </c>
      <c r="B60">
        <v>10949</v>
      </c>
      <c r="C60" t="s">
        <v>653</v>
      </c>
      <c r="D60" t="s">
        <v>139</v>
      </c>
      <c r="E60" t="s">
        <v>631</v>
      </c>
      <c r="F60">
        <v>16</v>
      </c>
      <c r="G60">
        <v>53</v>
      </c>
      <c r="H60">
        <v>201</v>
      </c>
      <c r="I60">
        <v>3.8</v>
      </c>
      <c r="J60">
        <v>1</v>
      </c>
      <c r="K60">
        <v>46.4</v>
      </c>
      <c r="L60">
        <v>32</v>
      </c>
      <c r="M60">
        <v>226</v>
      </c>
      <c r="N60">
        <v>1</v>
      </c>
      <c r="O60">
        <v>1</v>
      </c>
      <c r="P60">
        <v>1</v>
      </c>
      <c r="Q60">
        <v>3.3</v>
      </c>
      <c r="R60">
        <v>52.7</v>
      </c>
      <c r="S60">
        <v>84.7</v>
      </c>
      <c r="T60">
        <f t="shared" si="1"/>
        <v>-10.299999999999997</v>
      </c>
    </row>
    <row r="61" spans="1:20" x14ac:dyDescent="0.25">
      <c r="A61" s="11">
        <f t="shared" si="2"/>
        <v>60</v>
      </c>
      <c r="B61" s="11">
        <v>6828</v>
      </c>
      <c r="C61" s="11" t="s">
        <v>140</v>
      </c>
      <c r="D61" s="11" t="s">
        <v>139</v>
      </c>
      <c r="E61" s="11" t="s">
        <v>135</v>
      </c>
      <c r="F61" s="11">
        <v>16</v>
      </c>
      <c r="G61" s="11">
        <v>120</v>
      </c>
      <c r="H61" s="11">
        <v>481</v>
      </c>
      <c r="I61" s="11">
        <v>4</v>
      </c>
      <c r="J61" s="11">
        <v>3</v>
      </c>
      <c r="K61" s="11">
        <v>17.5</v>
      </c>
      <c r="L61" s="11">
        <v>12</v>
      </c>
      <c r="M61" s="11">
        <v>87</v>
      </c>
      <c r="N61" s="11">
        <v>0</v>
      </c>
      <c r="O61" s="11">
        <v>2</v>
      </c>
      <c r="P61" s="11">
        <v>2</v>
      </c>
      <c r="Q61" s="11">
        <v>4.4000000000000004</v>
      </c>
      <c r="R61" s="11">
        <v>70.8</v>
      </c>
      <c r="S61" s="11">
        <v>82.8</v>
      </c>
      <c r="T61" s="11">
        <f t="shared" si="1"/>
        <v>-12.200000000000003</v>
      </c>
    </row>
    <row r="62" spans="1:20" x14ac:dyDescent="0.25">
      <c r="A62">
        <f t="shared" si="2"/>
        <v>61</v>
      </c>
      <c r="B62">
        <v>16934</v>
      </c>
      <c r="C62" t="s">
        <v>203</v>
      </c>
      <c r="D62" t="s">
        <v>139</v>
      </c>
      <c r="E62" t="s">
        <v>176</v>
      </c>
      <c r="F62">
        <v>16</v>
      </c>
      <c r="G62">
        <v>95</v>
      </c>
      <c r="H62">
        <v>394</v>
      </c>
      <c r="I62">
        <v>4.0999999999999996</v>
      </c>
      <c r="J62">
        <v>2</v>
      </c>
      <c r="K62">
        <v>19.5</v>
      </c>
      <c r="L62">
        <v>14</v>
      </c>
      <c r="M62">
        <v>130</v>
      </c>
      <c r="N62">
        <v>1</v>
      </c>
      <c r="O62">
        <v>1</v>
      </c>
      <c r="P62">
        <v>1</v>
      </c>
      <c r="Q62">
        <v>4.3</v>
      </c>
      <c r="R62">
        <v>68.400000000000006</v>
      </c>
      <c r="S62">
        <v>82.4</v>
      </c>
      <c r="T62">
        <f t="shared" si="1"/>
        <v>-12.599999999999994</v>
      </c>
    </row>
    <row r="63" spans="1:20" x14ac:dyDescent="0.25">
      <c r="A63">
        <f t="shared" si="2"/>
        <v>62</v>
      </c>
      <c r="B63">
        <v>14046</v>
      </c>
      <c r="C63" t="s">
        <v>319</v>
      </c>
      <c r="D63" t="s">
        <v>139</v>
      </c>
      <c r="E63" t="s">
        <v>292</v>
      </c>
      <c r="F63">
        <v>16</v>
      </c>
      <c r="G63">
        <v>101</v>
      </c>
      <c r="H63">
        <v>397</v>
      </c>
      <c r="I63">
        <v>3.9</v>
      </c>
      <c r="J63">
        <v>3</v>
      </c>
      <c r="K63">
        <v>23</v>
      </c>
      <c r="L63">
        <v>16</v>
      </c>
      <c r="M63">
        <v>98</v>
      </c>
      <c r="N63">
        <v>0</v>
      </c>
      <c r="O63">
        <v>1</v>
      </c>
      <c r="P63">
        <v>1</v>
      </c>
      <c r="Q63">
        <v>4.0999999999999996</v>
      </c>
      <c r="R63">
        <v>65.5</v>
      </c>
      <c r="S63">
        <v>81.5</v>
      </c>
      <c r="T63">
        <f t="shared" si="1"/>
        <v>-13.5</v>
      </c>
    </row>
    <row r="64" spans="1:20" x14ac:dyDescent="0.25">
      <c r="A64" s="11">
        <f t="shared" si="2"/>
        <v>63</v>
      </c>
      <c r="B64" s="11">
        <v>17969</v>
      </c>
      <c r="C64" s="11" t="s">
        <v>188</v>
      </c>
      <c r="D64" s="11" t="s">
        <v>139</v>
      </c>
      <c r="E64" s="11" t="s">
        <v>167</v>
      </c>
      <c r="F64" s="11">
        <v>16</v>
      </c>
      <c r="G64" s="11">
        <v>76</v>
      </c>
      <c r="H64" s="11">
        <v>317</v>
      </c>
      <c r="I64" s="11">
        <v>4.2</v>
      </c>
      <c r="J64" s="11">
        <v>2</v>
      </c>
      <c r="K64" s="11">
        <v>23.9</v>
      </c>
      <c r="L64" s="11">
        <v>18</v>
      </c>
      <c r="M64" s="11">
        <v>140</v>
      </c>
      <c r="N64" s="11">
        <v>1</v>
      </c>
      <c r="O64" s="11">
        <v>1</v>
      </c>
      <c r="P64" s="11">
        <v>1</v>
      </c>
      <c r="Q64" s="11">
        <v>3.9</v>
      </c>
      <c r="R64" s="11">
        <v>61.7</v>
      </c>
      <c r="S64" s="11">
        <v>79.7</v>
      </c>
      <c r="T64" s="11">
        <f t="shared" si="1"/>
        <v>-15.299999999999997</v>
      </c>
    </row>
    <row r="65" spans="1:20" x14ac:dyDescent="0.25">
      <c r="A65" s="11">
        <f t="shared" si="2"/>
        <v>64</v>
      </c>
      <c r="B65" s="11">
        <v>17970</v>
      </c>
      <c r="C65" s="11" t="s">
        <v>320</v>
      </c>
      <c r="D65" s="11" t="s">
        <v>139</v>
      </c>
      <c r="E65" s="11" t="s">
        <v>292</v>
      </c>
      <c r="F65" s="11">
        <v>16</v>
      </c>
      <c r="G65" s="11">
        <v>105</v>
      </c>
      <c r="H65" s="11">
        <v>431</v>
      </c>
      <c r="I65" s="11">
        <v>4.0999999999999996</v>
      </c>
      <c r="J65" s="11">
        <v>2</v>
      </c>
      <c r="K65" s="11">
        <v>21.6</v>
      </c>
      <c r="L65" s="11">
        <v>15</v>
      </c>
      <c r="M65" s="11">
        <v>116</v>
      </c>
      <c r="N65" s="11">
        <v>0</v>
      </c>
      <c r="O65" s="11">
        <v>1</v>
      </c>
      <c r="P65" s="11">
        <v>1</v>
      </c>
      <c r="Q65" s="11">
        <v>4</v>
      </c>
      <c r="R65" s="11">
        <v>64.7</v>
      </c>
      <c r="S65" s="11">
        <v>79.699999999999989</v>
      </c>
      <c r="T65" s="11">
        <f t="shared" si="1"/>
        <v>-15.300000000000011</v>
      </c>
    </row>
    <row r="66" spans="1:20" x14ac:dyDescent="0.25">
      <c r="A66">
        <f t="shared" ref="A66:A97" si="3">_xlfn.RANK.AVG(S66,$S$2:$S$190,0)</f>
        <v>65</v>
      </c>
      <c r="B66">
        <v>15224</v>
      </c>
      <c r="C66" t="s">
        <v>141</v>
      </c>
      <c r="D66" t="s">
        <v>139</v>
      </c>
      <c r="E66" t="s">
        <v>135</v>
      </c>
      <c r="F66">
        <v>16</v>
      </c>
      <c r="G66">
        <v>51</v>
      </c>
      <c r="H66">
        <v>231</v>
      </c>
      <c r="I66">
        <v>4.5</v>
      </c>
      <c r="J66">
        <v>2</v>
      </c>
      <c r="K66">
        <v>27.7</v>
      </c>
      <c r="L66">
        <v>21</v>
      </c>
      <c r="M66">
        <v>180</v>
      </c>
      <c r="N66">
        <v>1</v>
      </c>
      <c r="O66">
        <v>2</v>
      </c>
      <c r="P66">
        <v>2</v>
      </c>
      <c r="Q66">
        <v>3.4</v>
      </c>
      <c r="R66">
        <v>55.1</v>
      </c>
      <c r="S66">
        <v>76.099999999999994</v>
      </c>
      <c r="T66">
        <f t="shared" si="1"/>
        <v>-18.900000000000006</v>
      </c>
    </row>
    <row r="67" spans="1:20" x14ac:dyDescent="0.25">
      <c r="A67">
        <f t="shared" si="3"/>
        <v>66</v>
      </c>
      <c r="B67">
        <v>16915</v>
      </c>
      <c r="C67" t="s">
        <v>194</v>
      </c>
      <c r="D67" t="s">
        <v>139</v>
      </c>
      <c r="E67" t="s">
        <v>172</v>
      </c>
      <c r="F67">
        <v>16</v>
      </c>
      <c r="G67">
        <v>75</v>
      </c>
      <c r="H67">
        <v>332</v>
      </c>
      <c r="I67">
        <v>4.4000000000000004</v>
      </c>
      <c r="J67">
        <v>3</v>
      </c>
      <c r="K67">
        <v>15.5</v>
      </c>
      <c r="L67">
        <v>11</v>
      </c>
      <c r="M67">
        <v>87</v>
      </c>
      <c r="N67">
        <v>1</v>
      </c>
      <c r="O67">
        <v>1</v>
      </c>
      <c r="P67">
        <v>1</v>
      </c>
      <c r="Q67">
        <v>4</v>
      </c>
      <c r="R67">
        <v>63.9</v>
      </c>
      <c r="S67">
        <v>74.900000000000006</v>
      </c>
      <c r="T67">
        <f t="shared" ref="T67:T130" si="4">S67-$V$1</f>
        <v>-20.099999999999994</v>
      </c>
    </row>
    <row r="68" spans="1:20" x14ac:dyDescent="0.25">
      <c r="A68" s="11">
        <f t="shared" si="3"/>
        <v>67</v>
      </c>
      <c r="B68" s="11">
        <v>15261</v>
      </c>
      <c r="C68" s="11" t="s">
        <v>463</v>
      </c>
      <c r="D68" s="11" t="s">
        <v>139</v>
      </c>
      <c r="E68" s="11" t="s">
        <v>411</v>
      </c>
      <c r="F68" s="11">
        <v>16</v>
      </c>
      <c r="G68" s="11">
        <v>78</v>
      </c>
      <c r="H68" s="11">
        <v>364</v>
      </c>
      <c r="I68" s="11">
        <v>4.7</v>
      </c>
      <c r="J68" s="11">
        <v>4</v>
      </c>
      <c r="K68" s="11">
        <v>12.5</v>
      </c>
      <c r="L68" s="11">
        <v>9</v>
      </c>
      <c r="M68" s="11">
        <v>53</v>
      </c>
      <c r="N68" s="11">
        <v>0</v>
      </c>
      <c r="O68" s="11">
        <v>1</v>
      </c>
      <c r="P68" s="11">
        <v>1</v>
      </c>
      <c r="Q68" s="11">
        <v>4</v>
      </c>
      <c r="R68" s="11">
        <v>63.7</v>
      </c>
      <c r="S68" s="11">
        <v>72.7</v>
      </c>
      <c r="T68" s="11">
        <f t="shared" si="4"/>
        <v>-22.299999999999997</v>
      </c>
    </row>
    <row r="69" spans="1:20" x14ac:dyDescent="0.25">
      <c r="A69">
        <f t="shared" si="3"/>
        <v>68</v>
      </c>
      <c r="B69">
        <v>17972</v>
      </c>
      <c r="C69" t="s">
        <v>661</v>
      </c>
      <c r="D69" t="s">
        <v>139</v>
      </c>
      <c r="E69" t="s">
        <v>635</v>
      </c>
      <c r="F69">
        <v>16</v>
      </c>
      <c r="G69">
        <v>92</v>
      </c>
      <c r="H69">
        <v>393</v>
      </c>
      <c r="I69">
        <v>4.3</v>
      </c>
      <c r="J69">
        <v>2</v>
      </c>
      <c r="K69">
        <v>18.899999999999999</v>
      </c>
      <c r="L69">
        <v>13</v>
      </c>
      <c r="M69">
        <v>104</v>
      </c>
      <c r="N69">
        <v>0</v>
      </c>
      <c r="O69">
        <v>2</v>
      </c>
      <c r="P69">
        <v>2</v>
      </c>
      <c r="Q69">
        <v>3.6</v>
      </c>
      <c r="R69">
        <v>57.7</v>
      </c>
      <c r="S69">
        <v>70.7</v>
      </c>
      <c r="T69">
        <f t="shared" si="4"/>
        <v>-24.299999999999997</v>
      </c>
    </row>
    <row r="70" spans="1:20" x14ac:dyDescent="0.25">
      <c r="A70">
        <f t="shared" si="3"/>
        <v>69</v>
      </c>
      <c r="B70">
        <v>16427</v>
      </c>
      <c r="C70" t="s">
        <v>297</v>
      </c>
      <c r="D70" t="s">
        <v>139</v>
      </c>
      <c r="E70" t="s">
        <v>273</v>
      </c>
      <c r="F70">
        <v>16</v>
      </c>
      <c r="G70">
        <v>84</v>
      </c>
      <c r="H70">
        <v>331</v>
      </c>
      <c r="I70">
        <v>3.9</v>
      </c>
      <c r="J70">
        <v>2</v>
      </c>
      <c r="K70">
        <v>18.5</v>
      </c>
      <c r="L70">
        <v>13</v>
      </c>
      <c r="M70">
        <v>93</v>
      </c>
      <c r="N70">
        <v>1</v>
      </c>
      <c r="O70">
        <v>2</v>
      </c>
      <c r="P70">
        <v>2</v>
      </c>
      <c r="Q70">
        <v>3.5</v>
      </c>
      <c r="R70">
        <v>56.4</v>
      </c>
      <c r="S70">
        <v>69.400000000000006</v>
      </c>
      <c r="T70">
        <f t="shared" si="4"/>
        <v>-25.599999999999994</v>
      </c>
    </row>
    <row r="71" spans="1:20" x14ac:dyDescent="0.25">
      <c r="A71">
        <f t="shared" si="3"/>
        <v>70</v>
      </c>
      <c r="B71">
        <v>18003</v>
      </c>
      <c r="C71" t="s">
        <v>476</v>
      </c>
      <c r="D71" t="s">
        <v>139</v>
      </c>
      <c r="E71" t="s">
        <v>421</v>
      </c>
      <c r="F71">
        <v>16</v>
      </c>
      <c r="G71">
        <v>53</v>
      </c>
      <c r="H71">
        <v>218</v>
      </c>
      <c r="I71">
        <v>4.0999999999999996</v>
      </c>
      <c r="J71">
        <v>1</v>
      </c>
      <c r="K71">
        <v>29.6</v>
      </c>
      <c r="L71">
        <v>20</v>
      </c>
      <c r="M71">
        <v>154</v>
      </c>
      <c r="N71">
        <v>1</v>
      </c>
      <c r="O71">
        <v>1</v>
      </c>
      <c r="P71">
        <v>1</v>
      </c>
      <c r="Q71">
        <v>3</v>
      </c>
      <c r="R71">
        <v>47.2</v>
      </c>
      <c r="S71">
        <v>67.199999999999989</v>
      </c>
      <c r="T71">
        <f t="shared" si="4"/>
        <v>-27.800000000000011</v>
      </c>
    </row>
    <row r="72" spans="1:20" x14ac:dyDescent="0.25">
      <c r="A72">
        <f t="shared" si="3"/>
        <v>71.5</v>
      </c>
      <c r="B72">
        <v>16626</v>
      </c>
      <c r="C72" t="s">
        <v>471</v>
      </c>
      <c r="D72" t="s">
        <v>139</v>
      </c>
      <c r="E72" t="s">
        <v>417</v>
      </c>
      <c r="F72">
        <v>16</v>
      </c>
      <c r="G72">
        <v>57</v>
      </c>
      <c r="H72">
        <v>219</v>
      </c>
      <c r="I72">
        <v>3.8</v>
      </c>
      <c r="J72">
        <v>2</v>
      </c>
      <c r="K72">
        <v>24</v>
      </c>
      <c r="L72">
        <v>17</v>
      </c>
      <c r="M72">
        <v>108</v>
      </c>
      <c r="N72">
        <v>1</v>
      </c>
      <c r="O72">
        <v>1</v>
      </c>
      <c r="P72">
        <v>1</v>
      </c>
      <c r="Q72">
        <v>3</v>
      </c>
      <c r="R72">
        <v>48.7</v>
      </c>
      <c r="S72">
        <v>65.7</v>
      </c>
      <c r="T72">
        <f t="shared" si="4"/>
        <v>-29.299999999999997</v>
      </c>
    </row>
    <row r="73" spans="1:20" x14ac:dyDescent="0.25">
      <c r="A73">
        <f t="shared" si="3"/>
        <v>71.5</v>
      </c>
      <c r="B73">
        <v>11220</v>
      </c>
      <c r="C73" t="s">
        <v>812</v>
      </c>
      <c r="D73" t="s">
        <v>139</v>
      </c>
      <c r="E73" t="s">
        <v>783</v>
      </c>
      <c r="F73">
        <v>16</v>
      </c>
      <c r="G73">
        <v>33</v>
      </c>
      <c r="H73">
        <v>132</v>
      </c>
      <c r="I73">
        <v>4</v>
      </c>
      <c r="J73">
        <v>1</v>
      </c>
      <c r="K73">
        <v>34</v>
      </c>
      <c r="L73">
        <v>25</v>
      </c>
      <c r="M73">
        <v>195</v>
      </c>
      <c r="N73">
        <v>1</v>
      </c>
      <c r="O73">
        <v>2</v>
      </c>
      <c r="P73">
        <v>2</v>
      </c>
      <c r="Q73">
        <v>2.5</v>
      </c>
      <c r="R73">
        <v>40.700000000000003</v>
      </c>
      <c r="S73">
        <v>65.7</v>
      </c>
      <c r="T73">
        <f t="shared" si="4"/>
        <v>-29.299999999999997</v>
      </c>
    </row>
    <row r="74" spans="1:20" x14ac:dyDescent="0.25">
      <c r="A74">
        <f t="shared" si="3"/>
        <v>73</v>
      </c>
      <c r="B74">
        <v>16307</v>
      </c>
      <c r="C74" t="s">
        <v>464</v>
      </c>
      <c r="D74" t="s">
        <v>139</v>
      </c>
      <c r="E74" t="s">
        <v>411</v>
      </c>
      <c r="F74">
        <v>16</v>
      </c>
      <c r="G74">
        <v>65</v>
      </c>
      <c r="H74">
        <v>255</v>
      </c>
      <c r="I74">
        <v>3.9</v>
      </c>
      <c r="J74">
        <v>2</v>
      </c>
      <c r="K74">
        <v>20.7</v>
      </c>
      <c r="L74">
        <v>14</v>
      </c>
      <c r="M74">
        <v>117</v>
      </c>
      <c r="N74">
        <v>1</v>
      </c>
      <c r="O74">
        <v>2</v>
      </c>
      <c r="P74">
        <v>2</v>
      </c>
      <c r="Q74">
        <v>3.2</v>
      </c>
      <c r="R74">
        <v>51.2</v>
      </c>
      <c r="S74">
        <v>65.2</v>
      </c>
      <c r="T74">
        <f t="shared" si="4"/>
        <v>-29.799999999999997</v>
      </c>
    </row>
    <row r="75" spans="1:20" x14ac:dyDescent="0.25">
      <c r="A75">
        <f t="shared" si="3"/>
        <v>74</v>
      </c>
      <c r="B75">
        <v>4738</v>
      </c>
      <c r="C75" t="s">
        <v>204</v>
      </c>
      <c r="D75" t="s">
        <v>182</v>
      </c>
      <c r="E75" t="s">
        <v>176</v>
      </c>
      <c r="F75">
        <v>16</v>
      </c>
      <c r="G75">
        <v>54</v>
      </c>
      <c r="H75">
        <v>203</v>
      </c>
      <c r="I75">
        <v>3.8</v>
      </c>
      <c r="J75">
        <v>2</v>
      </c>
      <c r="K75">
        <v>23.8</v>
      </c>
      <c r="L75">
        <v>16</v>
      </c>
      <c r="M75">
        <v>126</v>
      </c>
      <c r="N75">
        <v>1</v>
      </c>
      <c r="O75">
        <v>1</v>
      </c>
      <c r="P75">
        <v>1</v>
      </c>
      <c r="Q75">
        <v>3.1</v>
      </c>
      <c r="R75">
        <v>48.9</v>
      </c>
      <c r="S75">
        <v>64.900000000000006</v>
      </c>
      <c r="T75">
        <f t="shared" si="4"/>
        <v>-30.099999999999994</v>
      </c>
    </row>
    <row r="76" spans="1:20" x14ac:dyDescent="0.25">
      <c r="A76">
        <f t="shared" si="3"/>
        <v>75</v>
      </c>
      <c r="B76">
        <v>18070</v>
      </c>
      <c r="C76" t="s">
        <v>683</v>
      </c>
      <c r="D76" t="s">
        <v>139</v>
      </c>
      <c r="E76" t="s">
        <v>107</v>
      </c>
      <c r="F76">
        <v>16</v>
      </c>
      <c r="G76">
        <v>70</v>
      </c>
      <c r="H76">
        <v>293</v>
      </c>
      <c r="I76">
        <v>4.2</v>
      </c>
      <c r="J76">
        <v>2</v>
      </c>
      <c r="K76">
        <v>22.4</v>
      </c>
      <c r="L76">
        <v>15</v>
      </c>
      <c r="M76">
        <v>115</v>
      </c>
      <c r="N76">
        <v>0</v>
      </c>
      <c r="O76">
        <v>2</v>
      </c>
      <c r="P76">
        <v>2</v>
      </c>
      <c r="Q76">
        <v>3</v>
      </c>
      <c r="R76">
        <v>48.8</v>
      </c>
      <c r="S76">
        <v>63.8</v>
      </c>
      <c r="T76">
        <f t="shared" si="4"/>
        <v>-31.200000000000003</v>
      </c>
    </row>
    <row r="77" spans="1:20" x14ac:dyDescent="0.25">
      <c r="A77">
        <f t="shared" si="3"/>
        <v>76</v>
      </c>
      <c r="B77">
        <v>18041</v>
      </c>
      <c r="C77" t="s">
        <v>445</v>
      </c>
      <c r="D77" t="s">
        <v>139</v>
      </c>
      <c r="E77" t="s">
        <v>400</v>
      </c>
      <c r="F77">
        <v>16</v>
      </c>
      <c r="G77">
        <v>54</v>
      </c>
      <c r="H77">
        <v>218</v>
      </c>
      <c r="I77">
        <v>4</v>
      </c>
      <c r="J77">
        <v>1</v>
      </c>
      <c r="K77">
        <v>21.9</v>
      </c>
      <c r="L77">
        <v>15</v>
      </c>
      <c r="M77">
        <v>129</v>
      </c>
      <c r="N77">
        <v>1</v>
      </c>
      <c r="O77">
        <v>0</v>
      </c>
      <c r="P77">
        <v>0</v>
      </c>
      <c r="Q77">
        <v>2.9</v>
      </c>
      <c r="R77">
        <v>46.7</v>
      </c>
      <c r="S77">
        <v>61.699999999999996</v>
      </c>
      <c r="T77">
        <f t="shared" si="4"/>
        <v>-33.300000000000004</v>
      </c>
    </row>
    <row r="78" spans="1:20" x14ac:dyDescent="0.25">
      <c r="A78">
        <f t="shared" si="3"/>
        <v>77</v>
      </c>
      <c r="B78">
        <v>16189</v>
      </c>
      <c r="C78" t="s">
        <v>446</v>
      </c>
      <c r="D78" t="s">
        <v>139</v>
      </c>
      <c r="E78" t="s">
        <v>400</v>
      </c>
      <c r="F78">
        <v>16</v>
      </c>
      <c r="G78">
        <v>79</v>
      </c>
      <c r="H78">
        <v>311</v>
      </c>
      <c r="I78">
        <v>3.9</v>
      </c>
      <c r="J78">
        <v>2</v>
      </c>
      <c r="K78">
        <v>14.9</v>
      </c>
      <c r="L78">
        <v>11</v>
      </c>
      <c r="M78">
        <v>87</v>
      </c>
      <c r="N78">
        <v>0</v>
      </c>
      <c r="O78">
        <v>1</v>
      </c>
      <c r="P78">
        <v>1</v>
      </c>
      <c r="Q78">
        <v>3.1</v>
      </c>
      <c r="R78">
        <v>49.8</v>
      </c>
      <c r="S78">
        <v>60.8</v>
      </c>
      <c r="T78">
        <f t="shared" si="4"/>
        <v>-34.200000000000003</v>
      </c>
    </row>
    <row r="79" spans="1:20" x14ac:dyDescent="0.25">
      <c r="A79">
        <f t="shared" si="3"/>
        <v>78</v>
      </c>
      <c r="B79">
        <v>14533</v>
      </c>
      <c r="C79" t="s">
        <v>453</v>
      </c>
      <c r="D79" t="s">
        <v>139</v>
      </c>
      <c r="E79" t="s">
        <v>404</v>
      </c>
      <c r="F79">
        <v>16</v>
      </c>
      <c r="G79">
        <v>57</v>
      </c>
      <c r="H79">
        <v>220</v>
      </c>
      <c r="I79">
        <v>3.9</v>
      </c>
      <c r="J79">
        <v>2</v>
      </c>
      <c r="K79">
        <v>22.4</v>
      </c>
      <c r="L79">
        <v>17</v>
      </c>
      <c r="M79">
        <v>116</v>
      </c>
      <c r="N79">
        <v>0</v>
      </c>
      <c r="O79">
        <v>1</v>
      </c>
      <c r="P79">
        <v>1</v>
      </c>
      <c r="Q79">
        <v>2.7</v>
      </c>
      <c r="R79">
        <v>43.6</v>
      </c>
      <c r="S79">
        <v>60.6</v>
      </c>
      <c r="T79">
        <f t="shared" si="4"/>
        <v>-34.4</v>
      </c>
    </row>
    <row r="80" spans="1:20" x14ac:dyDescent="0.25">
      <c r="A80">
        <f t="shared" si="3"/>
        <v>79</v>
      </c>
      <c r="B80">
        <v>16305</v>
      </c>
      <c r="C80" t="s">
        <v>465</v>
      </c>
      <c r="D80" t="s">
        <v>139</v>
      </c>
      <c r="E80" t="s">
        <v>411</v>
      </c>
      <c r="F80">
        <v>16</v>
      </c>
      <c r="G80">
        <v>10</v>
      </c>
      <c r="H80">
        <v>57</v>
      </c>
      <c r="I80">
        <v>5.7</v>
      </c>
      <c r="J80">
        <v>1</v>
      </c>
      <c r="K80">
        <v>41.5</v>
      </c>
      <c r="L80">
        <v>24</v>
      </c>
      <c r="M80">
        <v>197</v>
      </c>
      <c r="N80">
        <v>1</v>
      </c>
      <c r="O80">
        <v>1</v>
      </c>
      <c r="P80">
        <v>1</v>
      </c>
      <c r="Q80">
        <v>2.2000000000000002</v>
      </c>
      <c r="R80">
        <v>35.4</v>
      </c>
      <c r="S80">
        <v>59.400000000000006</v>
      </c>
      <c r="T80">
        <f t="shared" si="4"/>
        <v>-35.599999999999994</v>
      </c>
    </row>
    <row r="81" spans="1:20" x14ac:dyDescent="0.25">
      <c r="A81">
        <f t="shared" si="3"/>
        <v>80</v>
      </c>
      <c r="B81">
        <v>16031</v>
      </c>
      <c r="C81" t="s">
        <v>477</v>
      </c>
      <c r="D81" t="s">
        <v>139</v>
      </c>
      <c r="E81" t="s">
        <v>421</v>
      </c>
      <c r="F81">
        <v>16</v>
      </c>
      <c r="G81">
        <v>47</v>
      </c>
      <c r="H81">
        <v>174</v>
      </c>
      <c r="I81">
        <v>3.7</v>
      </c>
      <c r="J81">
        <v>2</v>
      </c>
      <c r="K81">
        <v>20.2</v>
      </c>
      <c r="L81">
        <v>14</v>
      </c>
      <c r="M81">
        <v>104</v>
      </c>
      <c r="N81">
        <v>1</v>
      </c>
      <c r="O81">
        <v>1</v>
      </c>
      <c r="P81">
        <v>1</v>
      </c>
      <c r="Q81">
        <v>2.7</v>
      </c>
      <c r="R81">
        <v>43.8</v>
      </c>
      <c r="S81">
        <v>57.8</v>
      </c>
      <c r="T81">
        <f t="shared" si="4"/>
        <v>-37.200000000000003</v>
      </c>
    </row>
    <row r="82" spans="1:20" x14ac:dyDescent="0.25">
      <c r="A82">
        <f t="shared" si="3"/>
        <v>81</v>
      </c>
      <c r="B82">
        <v>14269</v>
      </c>
      <c r="C82" t="s">
        <v>314</v>
      </c>
      <c r="D82" t="s">
        <v>139</v>
      </c>
      <c r="E82" t="s">
        <v>288</v>
      </c>
      <c r="F82">
        <v>16</v>
      </c>
      <c r="G82">
        <v>84</v>
      </c>
      <c r="H82">
        <v>357</v>
      </c>
      <c r="I82">
        <v>4.2</v>
      </c>
      <c r="J82">
        <v>2</v>
      </c>
      <c r="K82">
        <v>9.4</v>
      </c>
      <c r="L82">
        <v>7</v>
      </c>
      <c r="M82">
        <v>45</v>
      </c>
      <c r="N82">
        <v>0</v>
      </c>
      <c r="O82">
        <v>1</v>
      </c>
      <c r="P82">
        <v>1</v>
      </c>
      <c r="Q82">
        <v>3.1</v>
      </c>
      <c r="R82">
        <v>50.2</v>
      </c>
      <c r="S82">
        <v>57.2</v>
      </c>
      <c r="T82">
        <f t="shared" si="4"/>
        <v>-37.799999999999997</v>
      </c>
    </row>
    <row r="83" spans="1:20" x14ac:dyDescent="0.25">
      <c r="A83">
        <f t="shared" si="3"/>
        <v>82</v>
      </c>
      <c r="B83">
        <v>15645</v>
      </c>
      <c r="C83" t="s">
        <v>669</v>
      </c>
      <c r="D83" t="s">
        <v>139</v>
      </c>
      <c r="E83" t="s">
        <v>639</v>
      </c>
      <c r="F83">
        <v>16</v>
      </c>
      <c r="G83">
        <v>67</v>
      </c>
      <c r="H83">
        <v>276</v>
      </c>
      <c r="I83">
        <v>4.0999999999999996</v>
      </c>
      <c r="J83">
        <v>2</v>
      </c>
      <c r="K83">
        <v>14.4</v>
      </c>
      <c r="L83">
        <v>11</v>
      </c>
      <c r="M83">
        <v>79</v>
      </c>
      <c r="N83">
        <v>0</v>
      </c>
      <c r="O83">
        <v>1</v>
      </c>
      <c r="P83">
        <v>1</v>
      </c>
      <c r="Q83">
        <v>2.8</v>
      </c>
      <c r="R83">
        <v>45.5</v>
      </c>
      <c r="S83">
        <v>56.5</v>
      </c>
      <c r="T83">
        <f t="shared" si="4"/>
        <v>-38.5</v>
      </c>
    </row>
    <row r="84" spans="1:20" x14ac:dyDescent="0.25">
      <c r="A84">
        <f t="shared" si="3"/>
        <v>83</v>
      </c>
      <c r="B84">
        <v>16056</v>
      </c>
      <c r="C84" t="s">
        <v>487</v>
      </c>
      <c r="D84" t="s">
        <v>139</v>
      </c>
      <c r="E84" t="s">
        <v>430</v>
      </c>
      <c r="F84">
        <v>16</v>
      </c>
      <c r="G84">
        <v>28</v>
      </c>
      <c r="H84">
        <v>104</v>
      </c>
      <c r="I84">
        <v>3.7</v>
      </c>
      <c r="J84">
        <v>1</v>
      </c>
      <c r="K84">
        <v>26.1</v>
      </c>
      <c r="L84">
        <v>18</v>
      </c>
      <c r="M84">
        <v>144</v>
      </c>
      <c r="N84">
        <v>1</v>
      </c>
      <c r="O84">
        <v>0</v>
      </c>
      <c r="P84">
        <v>0</v>
      </c>
      <c r="Q84">
        <v>2.2999999999999998</v>
      </c>
      <c r="R84">
        <v>36.799999999999997</v>
      </c>
      <c r="S84">
        <v>54.8</v>
      </c>
      <c r="T84">
        <f t="shared" si="4"/>
        <v>-40.200000000000003</v>
      </c>
    </row>
    <row r="85" spans="1:20" x14ac:dyDescent="0.25">
      <c r="A85">
        <f t="shared" si="3"/>
        <v>84</v>
      </c>
      <c r="B85">
        <v>16142</v>
      </c>
      <c r="C85" t="s">
        <v>189</v>
      </c>
      <c r="D85" t="s">
        <v>139</v>
      </c>
      <c r="E85" t="s">
        <v>167</v>
      </c>
      <c r="F85">
        <v>16</v>
      </c>
      <c r="G85">
        <v>82</v>
      </c>
      <c r="H85">
        <v>330</v>
      </c>
      <c r="I85">
        <v>4</v>
      </c>
      <c r="J85">
        <v>2</v>
      </c>
      <c r="K85">
        <v>13</v>
      </c>
      <c r="L85">
        <v>9</v>
      </c>
      <c r="M85">
        <v>61</v>
      </c>
      <c r="N85">
        <v>0</v>
      </c>
      <c r="O85">
        <v>3</v>
      </c>
      <c r="P85">
        <v>3</v>
      </c>
      <c r="Q85">
        <v>2.8</v>
      </c>
      <c r="R85">
        <v>45.1</v>
      </c>
      <c r="S85">
        <v>54.1</v>
      </c>
      <c r="T85">
        <f t="shared" si="4"/>
        <v>-40.9</v>
      </c>
    </row>
    <row r="86" spans="1:20" x14ac:dyDescent="0.25">
      <c r="A86">
        <f t="shared" si="3"/>
        <v>85</v>
      </c>
      <c r="B86">
        <v>15555</v>
      </c>
      <c r="C86" t="s">
        <v>482</v>
      </c>
      <c r="D86" t="s">
        <v>182</v>
      </c>
      <c r="E86" t="s">
        <v>426</v>
      </c>
      <c r="F86">
        <v>16</v>
      </c>
      <c r="G86">
        <v>8</v>
      </c>
      <c r="H86">
        <v>16</v>
      </c>
      <c r="I86">
        <v>2</v>
      </c>
      <c r="J86">
        <v>2</v>
      </c>
      <c r="K86">
        <v>15.7</v>
      </c>
      <c r="L86">
        <v>12</v>
      </c>
      <c r="M86">
        <v>138</v>
      </c>
      <c r="N86">
        <v>2</v>
      </c>
      <c r="O86">
        <v>0</v>
      </c>
      <c r="P86">
        <v>0</v>
      </c>
      <c r="Q86">
        <v>2.5</v>
      </c>
      <c r="R86">
        <v>39.4</v>
      </c>
      <c r="S86">
        <v>51.400000000000006</v>
      </c>
      <c r="T86">
        <f t="shared" si="4"/>
        <v>-43.599999999999994</v>
      </c>
    </row>
    <row r="87" spans="1:20" x14ac:dyDescent="0.25">
      <c r="A87" s="11">
        <f t="shared" si="3"/>
        <v>86</v>
      </c>
      <c r="B87" s="11">
        <v>15256</v>
      </c>
      <c r="C87" s="11" t="s">
        <v>796</v>
      </c>
      <c r="D87" s="11" t="s">
        <v>139</v>
      </c>
      <c r="E87" s="11" t="s">
        <v>772</v>
      </c>
      <c r="F87" s="11">
        <v>16</v>
      </c>
      <c r="G87" s="11">
        <v>65</v>
      </c>
      <c r="H87" s="11">
        <v>293</v>
      </c>
      <c r="I87" s="11">
        <v>4.5</v>
      </c>
      <c r="J87" s="11">
        <v>1</v>
      </c>
      <c r="K87" s="11">
        <v>14.6</v>
      </c>
      <c r="L87" s="11">
        <v>10</v>
      </c>
      <c r="M87" s="11">
        <v>69</v>
      </c>
      <c r="N87" s="11">
        <v>0</v>
      </c>
      <c r="O87" s="11">
        <v>1</v>
      </c>
      <c r="P87" s="11">
        <v>1</v>
      </c>
      <c r="Q87" s="11">
        <v>2.5</v>
      </c>
      <c r="R87" s="11">
        <v>40.200000000000003</v>
      </c>
      <c r="S87" s="11">
        <v>50.199999999999996</v>
      </c>
      <c r="T87" s="11">
        <f t="shared" si="4"/>
        <v>-44.800000000000004</v>
      </c>
    </row>
    <row r="88" spans="1:20" x14ac:dyDescent="0.25">
      <c r="A88">
        <f t="shared" si="3"/>
        <v>87.5</v>
      </c>
      <c r="B88">
        <v>13163</v>
      </c>
      <c r="C88" t="s">
        <v>676</v>
      </c>
      <c r="D88" t="s">
        <v>139</v>
      </c>
      <c r="E88" t="s">
        <v>644</v>
      </c>
      <c r="F88">
        <v>16</v>
      </c>
      <c r="G88">
        <v>27</v>
      </c>
      <c r="H88">
        <v>102</v>
      </c>
      <c r="I88">
        <v>3.8</v>
      </c>
      <c r="J88">
        <v>1</v>
      </c>
      <c r="K88">
        <v>21</v>
      </c>
      <c r="L88">
        <v>15</v>
      </c>
      <c r="M88">
        <v>135</v>
      </c>
      <c r="N88">
        <v>1</v>
      </c>
      <c r="O88">
        <v>1</v>
      </c>
      <c r="P88">
        <v>1</v>
      </c>
      <c r="Q88">
        <v>2.1</v>
      </c>
      <c r="R88">
        <v>33.700000000000003</v>
      </c>
      <c r="S88">
        <v>48.7</v>
      </c>
      <c r="T88">
        <f t="shared" si="4"/>
        <v>-46.3</v>
      </c>
    </row>
    <row r="89" spans="1:20" x14ac:dyDescent="0.25">
      <c r="A89">
        <f t="shared" si="3"/>
        <v>87.5</v>
      </c>
      <c r="B89">
        <v>3382</v>
      </c>
      <c r="C89" t="s">
        <v>677</v>
      </c>
      <c r="D89" t="s">
        <v>182</v>
      </c>
      <c r="E89" t="s">
        <v>644</v>
      </c>
      <c r="F89">
        <v>16</v>
      </c>
      <c r="G89">
        <v>12</v>
      </c>
      <c r="H89">
        <v>49</v>
      </c>
      <c r="I89">
        <v>4.0999999999999996</v>
      </c>
      <c r="J89">
        <v>0</v>
      </c>
      <c r="K89">
        <v>29.6</v>
      </c>
      <c r="L89">
        <v>21</v>
      </c>
      <c r="M89">
        <v>168</v>
      </c>
      <c r="N89">
        <v>1</v>
      </c>
      <c r="O89">
        <v>0</v>
      </c>
      <c r="P89">
        <v>0</v>
      </c>
      <c r="Q89">
        <v>1.7</v>
      </c>
      <c r="R89">
        <v>27.7</v>
      </c>
      <c r="S89">
        <v>48.7</v>
      </c>
      <c r="T89">
        <f t="shared" si="4"/>
        <v>-46.3</v>
      </c>
    </row>
    <row r="90" spans="1:20" x14ac:dyDescent="0.25">
      <c r="A90">
        <f t="shared" si="3"/>
        <v>89</v>
      </c>
      <c r="B90">
        <v>14872</v>
      </c>
      <c r="C90" t="s">
        <v>195</v>
      </c>
      <c r="D90" t="s">
        <v>139</v>
      </c>
      <c r="E90" t="s">
        <v>172</v>
      </c>
      <c r="F90">
        <v>16</v>
      </c>
      <c r="G90">
        <v>45</v>
      </c>
      <c r="H90">
        <v>212</v>
      </c>
      <c r="I90">
        <v>4.7</v>
      </c>
      <c r="J90">
        <v>2</v>
      </c>
      <c r="K90">
        <v>16.100000000000001</v>
      </c>
      <c r="L90">
        <v>12</v>
      </c>
      <c r="M90">
        <v>78</v>
      </c>
      <c r="N90">
        <v>0</v>
      </c>
      <c r="O90">
        <v>3</v>
      </c>
      <c r="P90">
        <v>3</v>
      </c>
      <c r="Q90">
        <v>2.2000000000000002</v>
      </c>
      <c r="R90">
        <v>35</v>
      </c>
      <c r="S90">
        <v>47</v>
      </c>
      <c r="T90">
        <f t="shared" si="4"/>
        <v>-48</v>
      </c>
    </row>
    <row r="91" spans="1:20" x14ac:dyDescent="0.25">
      <c r="A91">
        <f t="shared" si="3"/>
        <v>90</v>
      </c>
      <c r="B91">
        <v>13255</v>
      </c>
      <c r="C91" t="s">
        <v>483</v>
      </c>
      <c r="D91" t="s">
        <v>139</v>
      </c>
      <c r="E91" t="s">
        <v>426</v>
      </c>
      <c r="F91">
        <v>16</v>
      </c>
      <c r="G91">
        <v>36</v>
      </c>
      <c r="H91">
        <v>147</v>
      </c>
      <c r="I91">
        <v>4.0999999999999996</v>
      </c>
      <c r="J91">
        <v>1</v>
      </c>
      <c r="K91">
        <v>22.2</v>
      </c>
      <c r="L91">
        <v>16</v>
      </c>
      <c r="M91">
        <v>122</v>
      </c>
      <c r="N91">
        <v>0</v>
      </c>
      <c r="O91">
        <v>1</v>
      </c>
      <c r="P91">
        <v>1</v>
      </c>
      <c r="Q91">
        <v>1.9</v>
      </c>
      <c r="R91">
        <v>30.9</v>
      </c>
      <c r="S91">
        <v>46.900000000000006</v>
      </c>
      <c r="T91">
        <f t="shared" si="4"/>
        <v>-48.099999999999994</v>
      </c>
    </row>
    <row r="92" spans="1:20" x14ac:dyDescent="0.25">
      <c r="A92">
        <f t="shared" si="3"/>
        <v>91</v>
      </c>
      <c r="B92">
        <v>16345</v>
      </c>
      <c r="C92" t="s">
        <v>792</v>
      </c>
      <c r="D92" t="s">
        <v>139</v>
      </c>
      <c r="E92" t="s">
        <v>768</v>
      </c>
      <c r="F92">
        <v>16</v>
      </c>
      <c r="G92">
        <v>48</v>
      </c>
      <c r="H92">
        <v>173</v>
      </c>
      <c r="I92">
        <v>3.6</v>
      </c>
      <c r="J92">
        <v>1</v>
      </c>
      <c r="K92">
        <v>18.899999999999999</v>
      </c>
      <c r="L92">
        <v>13</v>
      </c>
      <c r="M92">
        <v>108</v>
      </c>
      <c r="N92">
        <v>0</v>
      </c>
      <c r="O92">
        <v>1</v>
      </c>
      <c r="P92">
        <v>1</v>
      </c>
      <c r="Q92">
        <v>2</v>
      </c>
      <c r="R92">
        <v>32.1</v>
      </c>
      <c r="S92">
        <v>45.099999999999994</v>
      </c>
      <c r="T92">
        <f t="shared" si="4"/>
        <v>-49.900000000000006</v>
      </c>
    </row>
    <row r="93" spans="1:20" x14ac:dyDescent="0.25">
      <c r="A93">
        <f t="shared" si="3"/>
        <v>92</v>
      </c>
      <c r="B93">
        <v>14719</v>
      </c>
      <c r="C93" t="s">
        <v>447</v>
      </c>
      <c r="D93" t="s">
        <v>139</v>
      </c>
      <c r="E93" t="s">
        <v>400</v>
      </c>
      <c r="F93">
        <v>16</v>
      </c>
      <c r="G93">
        <v>34</v>
      </c>
      <c r="H93">
        <v>134</v>
      </c>
      <c r="I93">
        <v>3.9</v>
      </c>
      <c r="J93">
        <v>1</v>
      </c>
      <c r="K93">
        <v>19</v>
      </c>
      <c r="L93">
        <v>14</v>
      </c>
      <c r="M93">
        <v>100</v>
      </c>
      <c r="N93">
        <v>0</v>
      </c>
      <c r="O93">
        <v>1</v>
      </c>
      <c r="P93">
        <v>1</v>
      </c>
      <c r="Q93">
        <v>1.7</v>
      </c>
      <c r="R93">
        <v>27.4</v>
      </c>
      <c r="S93">
        <v>41.4</v>
      </c>
      <c r="T93">
        <f t="shared" si="4"/>
        <v>-53.6</v>
      </c>
    </row>
    <row r="94" spans="1:20" x14ac:dyDescent="0.25">
      <c r="A94">
        <f t="shared" si="3"/>
        <v>93</v>
      </c>
      <c r="B94">
        <v>15045</v>
      </c>
      <c r="C94" t="s">
        <v>466</v>
      </c>
      <c r="D94" t="s">
        <v>139</v>
      </c>
      <c r="E94" t="s">
        <v>411</v>
      </c>
      <c r="F94">
        <v>16</v>
      </c>
      <c r="G94">
        <v>48</v>
      </c>
      <c r="H94">
        <v>184</v>
      </c>
      <c r="I94">
        <v>3.8</v>
      </c>
      <c r="J94">
        <v>2</v>
      </c>
      <c r="K94">
        <v>9.9</v>
      </c>
      <c r="L94">
        <v>7</v>
      </c>
      <c r="M94">
        <v>59</v>
      </c>
      <c r="N94">
        <v>0</v>
      </c>
      <c r="O94">
        <v>1</v>
      </c>
      <c r="P94">
        <v>1</v>
      </c>
      <c r="Q94">
        <v>2.1</v>
      </c>
      <c r="R94">
        <v>34.299999999999997</v>
      </c>
      <c r="S94">
        <v>41.3</v>
      </c>
      <c r="T94">
        <f t="shared" si="4"/>
        <v>-53.7</v>
      </c>
    </row>
    <row r="95" spans="1:20" x14ac:dyDescent="0.25">
      <c r="A95">
        <f t="shared" si="3"/>
        <v>94</v>
      </c>
      <c r="B95">
        <v>18127</v>
      </c>
      <c r="C95" t="s">
        <v>800</v>
      </c>
      <c r="D95" t="s">
        <v>139</v>
      </c>
      <c r="E95" t="s">
        <v>774</v>
      </c>
      <c r="F95">
        <v>16</v>
      </c>
      <c r="G95">
        <v>30</v>
      </c>
      <c r="H95">
        <v>127</v>
      </c>
      <c r="I95">
        <v>4.2</v>
      </c>
      <c r="J95">
        <v>1</v>
      </c>
      <c r="K95">
        <v>20.2</v>
      </c>
      <c r="L95">
        <v>14</v>
      </c>
      <c r="M95">
        <v>103</v>
      </c>
      <c r="N95">
        <v>0</v>
      </c>
      <c r="O95">
        <v>1</v>
      </c>
      <c r="P95">
        <v>1</v>
      </c>
      <c r="Q95">
        <v>1.7</v>
      </c>
      <c r="R95">
        <v>27</v>
      </c>
      <c r="S95">
        <v>41</v>
      </c>
      <c r="T95">
        <f t="shared" si="4"/>
        <v>-54</v>
      </c>
    </row>
    <row r="96" spans="1:20" x14ac:dyDescent="0.25">
      <c r="A96">
        <f t="shared" si="3"/>
        <v>95</v>
      </c>
      <c r="B96">
        <v>13063</v>
      </c>
      <c r="C96" t="s">
        <v>678</v>
      </c>
      <c r="D96" t="s">
        <v>139</v>
      </c>
      <c r="E96" t="s">
        <v>644</v>
      </c>
      <c r="F96">
        <v>16</v>
      </c>
      <c r="G96">
        <v>42</v>
      </c>
      <c r="H96">
        <v>157</v>
      </c>
      <c r="I96">
        <v>3.7</v>
      </c>
      <c r="J96">
        <v>1</v>
      </c>
      <c r="K96">
        <v>17.3</v>
      </c>
      <c r="L96">
        <v>13</v>
      </c>
      <c r="M96">
        <v>99</v>
      </c>
      <c r="N96">
        <v>0</v>
      </c>
      <c r="O96">
        <v>2</v>
      </c>
      <c r="P96">
        <v>2</v>
      </c>
      <c r="Q96">
        <v>1.7</v>
      </c>
      <c r="R96">
        <v>27.6</v>
      </c>
      <c r="S96">
        <v>40.6</v>
      </c>
      <c r="T96">
        <f t="shared" si="4"/>
        <v>-54.4</v>
      </c>
    </row>
    <row r="97" spans="1:20" x14ac:dyDescent="0.25">
      <c r="A97">
        <f t="shared" si="3"/>
        <v>96</v>
      </c>
      <c r="B97">
        <v>15565</v>
      </c>
      <c r="C97" t="s">
        <v>459</v>
      </c>
      <c r="D97" t="s">
        <v>139</v>
      </c>
      <c r="E97" t="s">
        <v>408</v>
      </c>
      <c r="F97">
        <v>16</v>
      </c>
      <c r="G97">
        <v>52</v>
      </c>
      <c r="H97">
        <v>198</v>
      </c>
      <c r="I97">
        <v>3.8</v>
      </c>
      <c r="J97">
        <v>2</v>
      </c>
      <c r="K97">
        <v>6.8</v>
      </c>
      <c r="L97">
        <v>5</v>
      </c>
      <c r="M97">
        <v>37</v>
      </c>
      <c r="N97">
        <v>0</v>
      </c>
      <c r="O97">
        <v>0</v>
      </c>
      <c r="P97">
        <v>0</v>
      </c>
      <c r="Q97">
        <v>2.2000000000000002</v>
      </c>
      <c r="R97">
        <v>35.5</v>
      </c>
      <c r="S97">
        <v>40.5</v>
      </c>
      <c r="T97">
        <f t="shared" si="4"/>
        <v>-54.5</v>
      </c>
    </row>
    <row r="98" spans="1:20" x14ac:dyDescent="0.25">
      <c r="A98">
        <f t="shared" ref="A98:A129" si="5">_xlfn.RANK.AVG(S98,$S$2:$S$190,0)</f>
        <v>97</v>
      </c>
      <c r="B98">
        <v>17023</v>
      </c>
      <c r="C98" t="s">
        <v>435</v>
      </c>
      <c r="D98" t="s">
        <v>139</v>
      </c>
      <c r="E98" t="s">
        <v>393</v>
      </c>
      <c r="F98">
        <v>16</v>
      </c>
      <c r="G98">
        <v>46</v>
      </c>
      <c r="H98">
        <v>183</v>
      </c>
      <c r="I98">
        <v>4</v>
      </c>
      <c r="J98">
        <v>2</v>
      </c>
      <c r="K98">
        <v>10.4</v>
      </c>
      <c r="L98">
        <v>7</v>
      </c>
      <c r="M98">
        <v>50</v>
      </c>
      <c r="N98">
        <v>0</v>
      </c>
      <c r="O98">
        <v>1</v>
      </c>
      <c r="P98">
        <v>1</v>
      </c>
      <c r="Q98">
        <v>2.1</v>
      </c>
      <c r="R98">
        <v>33.299999999999997</v>
      </c>
      <c r="S98">
        <v>40.299999999999997</v>
      </c>
      <c r="T98">
        <f t="shared" si="4"/>
        <v>-54.7</v>
      </c>
    </row>
    <row r="99" spans="1:20" x14ac:dyDescent="0.25">
      <c r="A99">
        <f t="shared" si="5"/>
        <v>98</v>
      </c>
      <c r="B99">
        <v>15018</v>
      </c>
      <c r="C99" t="s">
        <v>460</v>
      </c>
      <c r="D99" t="s">
        <v>139</v>
      </c>
      <c r="E99" t="s">
        <v>408</v>
      </c>
      <c r="F99">
        <v>16</v>
      </c>
      <c r="G99">
        <v>42</v>
      </c>
      <c r="H99">
        <v>157</v>
      </c>
      <c r="I99">
        <v>3.7</v>
      </c>
      <c r="J99">
        <v>0</v>
      </c>
      <c r="K99">
        <v>18.2</v>
      </c>
      <c r="L99">
        <v>13</v>
      </c>
      <c r="M99">
        <v>96</v>
      </c>
      <c r="N99">
        <v>0</v>
      </c>
      <c r="O99">
        <v>0</v>
      </c>
      <c r="P99">
        <v>0</v>
      </c>
      <c r="Q99">
        <v>1.6</v>
      </c>
      <c r="R99">
        <v>25.3</v>
      </c>
      <c r="S99">
        <v>38.299999999999997</v>
      </c>
      <c r="T99">
        <f t="shared" si="4"/>
        <v>-56.7</v>
      </c>
    </row>
    <row r="100" spans="1:20" x14ac:dyDescent="0.25">
      <c r="A100">
        <f t="shared" si="5"/>
        <v>99</v>
      </c>
      <c r="B100">
        <v>13741</v>
      </c>
      <c r="C100" t="s">
        <v>488</v>
      </c>
      <c r="D100" t="s">
        <v>139</v>
      </c>
      <c r="E100" t="s">
        <v>430</v>
      </c>
      <c r="F100">
        <v>16</v>
      </c>
      <c r="G100">
        <v>44</v>
      </c>
      <c r="H100">
        <v>178</v>
      </c>
      <c r="I100">
        <v>4</v>
      </c>
      <c r="J100">
        <v>1</v>
      </c>
      <c r="K100">
        <v>11</v>
      </c>
      <c r="L100">
        <v>8</v>
      </c>
      <c r="M100">
        <v>60</v>
      </c>
      <c r="N100">
        <v>0</v>
      </c>
      <c r="O100">
        <v>0</v>
      </c>
      <c r="P100">
        <v>0</v>
      </c>
      <c r="Q100">
        <v>1.9</v>
      </c>
      <c r="R100">
        <v>29.8</v>
      </c>
      <c r="S100">
        <v>37.799999999999997</v>
      </c>
      <c r="T100">
        <f t="shared" si="4"/>
        <v>-57.2</v>
      </c>
    </row>
    <row r="101" spans="1:20" x14ac:dyDescent="0.25">
      <c r="A101">
        <f t="shared" si="5"/>
        <v>100</v>
      </c>
      <c r="B101">
        <v>18158</v>
      </c>
      <c r="C101" t="s">
        <v>819</v>
      </c>
      <c r="D101" t="s">
        <v>139</v>
      </c>
      <c r="E101" t="s">
        <v>787</v>
      </c>
      <c r="F101">
        <v>16</v>
      </c>
      <c r="G101">
        <v>53</v>
      </c>
      <c r="H101">
        <v>210</v>
      </c>
      <c r="I101">
        <v>4</v>
      </c>
      <c r="J101">
        <v>1</v>
      </c>
      <c r="K101">
        <v>11.8</v>
      </c>
      <c r="L101">
        <v>8</v>
      </c>
      <c r="M101">
        <v>60</v>
      </c>
      <c r="N101">
        <v>0</v>
      </c>
      <c r="O101">
        <v>2</v>
      </c>
      <c r="P101">
        <v>2</v>
      </c>
      <c r="Q101">
        <v>1.8</v>
      </c>
      <c r="R101">
        <v>29</v>
      </c>
      <c r="S101">
        <v>37</v>
      </c>
      <c r="T101">
        <f t="shared" si="4"/>
        <v>-58</v>
      </c>
    </row>
    <row r="102" spans="1:20" x14ac:dyDescent="0.25">
      <c r="A102">
        <f t="shared" si="5"/>
        <v>101</v>
      </c>
      <c r="B102">
        <v>4640</v>
      </c>
      <c r="C102" t="s">
        <v>196</v>
      </c>
      <c r="D102" t="s">
        <v>139</v>
      </c>
      <c r="E102" t="s">
        <v>172</v>
      </c>
      <c r="F102">
        <v>16</v>
      </c>
      <c r="G102">
        <v>31</v>
      </c>
      <c r="H102">
        <v>128</v>
      </c>
      <c r="I102">
        <v>4.0999999999999996</v>
      </c>
      <c r="J102">
        <v>1</v>
      </c>
      <c r="K102">
        <v>17.399999999999999</v>
      </c>
      <c r="L102">
        <v>12</v>
      </c>
      <c r="M102">
        <v>81</v>
      </c>
      <c r="N102">
        <v>0</v>
      </c>
      <c r="O102">
        <v>1</v>
      </c>
      <c r="P102">
        <v>1</v>
      </c>
      <c r="Q102">
        <v>1.6</v>
      </c>
      <c r="R102">
        <v>24.9</v>
      </c>
      <c r="S102">
        <v>36.9</v>
      </c>
      <c r="T102">
        <f t="shared" si="4"/>
        <v>-58.1</v>
      </c>
    </row>
    <row r="103" spans="1:20" x14ac:dyDescent="0.25">
      <c r="A103">
        <f t="shared" si="5"/>
        <v>102</v>
      </c>
      <c r="B103">
        <v>16163</v>
      </c>
      <c r="C103" t="s">
        <v>813</v>
      </c>
      <c r="D103" t="s">
        <v>139</v>
      </c>
      <c r="E103" t="s">
        <v>783</v>
      </c>
      <c r="F103">
        <v>16</v>
      </c>
      <c r="G103">
        <v>40</v>
      </c>
      <c r="H103">
        <v>162</v>
      </c>
      <c r="I103">
        <v>4</v>
      </c>
      <c r="J103">
        <v>1</v>
      </c>
      <c r="K103">
        <v>11.4</v>
      </c>
      <c r="L103">
        <v>8</v>
      </c>
      <c r="M103">
        <v>58</v>
      </c>
      <c r="N103">
        <v>0</v>
      </c>
      <c r="O103">
        <v>1</v>
      </c>
      <c r="P103">
        <v>1</v>
      </c>
      <c r="Q103">
        <v>1.6</v>
      </c>
      <c r="R103">
        <v>26</v>
      </c>
      <c r="S103">
        <v>34</v>
      </c>
      <c r="T103">
        <f t="shared" si="4"/>
        <v>-61</v>
      </c>
    </row>
    <row r="104" spans="1:20" x14ac:dyDescent="0.25">
      <c r="A104">
        <f t="shared" si="5"/>
        <v>103</v>
      </c>
      <c r="B104">
        <v>13299</v>
      </c>
      <c r="C104" t="s">
        <v>298</v>
      </c>
      <c r="D104" t="s">
        <v>139</v>
      </c>
      <c r="E104" t="s">
        <v>273</v>
      </c>
      <c r="F104">
        <v>16</v>
      </c>
      <c r="G104">
        <v>33</v>
      </c>
      <c r="H104">
        <v>118</v>
      </c>
      <c r="I104">
        <v>3.6</v>
      </c>
      <c r="J104">
        <v>1</v>
      </c>
      <c r="K104">
        <v>13.9</v>
      </c>
      <c r="L104">
        <v>10</v>
      </c>
      <c r="M104">
        <v>71</v>
      </c>
      <c r="N104">
        <v>0</v>
      </c>
      <c r="O104">
        <v>1</v>
      </c>
      <c r="P104">
        <v>1</v>
      </c>
      <c r="Q104">
        <v>1.4</v>
      </c>
      <c r="R104">
        <v>22.9</v>
      </c>
      <c r="S104">
        <v>32.9</v>
      </c>
      <c r="T104">
        <f t="shared" si="4"/>
        <v>-62.1</v>
      </c>
    </row>
    <row r="105" spans="1:20" x14ac:dyDescent="0.25">
      <c r="A105">
        <f t="shared" si="5"/>
        <v>104</v>
      </c>
      <c r="B105">
        <v>13446</v>
      </c>
      <c r="C105" t="s">
        <v>801</v>
      </c>
      <c r="D105" t="s">
        <v>182</v>
      </c>
      <c r="E105" t="s">
        <v>774</v>
      </c>
      <c r="F105">
        <v>16</v>
      </c>
      <c r="G105">
        <v>8</v>
      </c>
      <c r="H105">
        <v>26</v>
      </c>
      <c r="I105">
        <v>3.2</v>
      </c>
      <c r="J105">
        <v>1</v>
      </c>
      <c r="K105">
        <v>16.2</v>
      </c>
      <c r="L105">
        <v>12</v>
      </c>
      <c r="M105">
        <v>122</v>
      </c>
      <c r="N105">
        <v>0</v>
      </c>
      <c r="O105">
        <v>0</v>
      </c>
      <c r="P105">
        <v>0</v>
      </c>
      <c r="Q105">
        <v>1.3</v>
      </c>
      <c r="R105">
        <v>20.8</v>
      </c>
      <c r="S105">
        <v>32.799999999999997</v>
      </c>
      <c r="T105">
        <f t="shared" si="4"/>
        <v>-62.2</v>
      </c>
    </row>
    <row r="106" spans="1:20" x14ac:dyDescent="0.25">
      <c r="A106">
        <f t="shared" si="5"/>
        <v>105</v>
      </c>
      <c r="B106">
        <v>12774</v>
      </c>
      <c r="C106" t="s">
        <v>436</v>
      </c>
      <c r="D106" t="s">
        <v>139</v>
      </c>
      <c r="E106" t="s">
        <v>393</v>
      </c>
      <c r="F106">
        <v>16</v>
      </c>
      <c r="G106">
        <v>46</v>
      </c>
      <c r="H106">
        <v>166</v>
      </c>
      <c r="I106">
        <v>3.6</v>
      </c>
      <c r="J106">
        <v>1</v>
      </c>
      <c r="K106">
        <v>9.3000000000000007</v>
      </c>
      <c r="L106">
        <v>7</v>
      </c>
      <c r="M106">
        <v>49</v>
      </c>
      <c r="N106">
        <v>0</v>
      </c>
      <c r="O106">
        <v>1</v>
      </c>
      <c r="P106">
        <v>1</v>
      </c>
      <c r="Q106">
        <v>1.6</v>
      </c>
      <c r="R106">
        <v>25.5</v>
      </c>
      <c r="S106">
        <v>32.5</v>
      </c>
      <c r="T106">
        <f t="shared" si="4"/>
        <v>-62.5</v>
      </c>
    </row>
    <row r="107" spans="1:20" x14ac:dyDescent="0.25">
      <c r="A107">
        <f t="shared" si="5"/>
        <v>106</v>
      </c>
      <c r="B107">
        <v>16898</v>
      </c>
      <c r="C107" t="s">
        <v>814</v>
      </c>
      <c r="D107" t="s">
        <v>139</v>
      </c>
      <c r="E107" t="s">
        <v>783</v>
      </c>
      <c r="F107">
        <v>16</v>
      </c>
      <c r="G107">
        <v>41</v>
      </c>
      <c r="H107">
        <v>150</v>
      </c>
      <c r="I107">
        <v>3.7</v>
      </c>
      <c r="J107">
        <v>1</v>
      </c>
      <c r="K107">
        <v>11.4</v>
      </c>
      <c r="L107">
        <v>8</v>
      </c>
      <c r="M107">
        <v>53</v>
      </c>
      <c r="N107">
        <v>0</v>
      </c>
      <c r="O107">
        <v>1</v>
      </c>
      <c r="P107">
        <v>1</v>
      </c>
      <c r="Q107">
        <v>1.5</v>
      </c>
      <c r="R107">
        <v>24.3</v>
      </c>
      <c r="S107">
        <v>32.299999999999997</v>
      </c>
      <c r="T107">
        <f t="shared" si="4"/>
        <v>-62.7</v>
      </c>
    </row>
    <row r="108" spans="1:20" x14ac:dyDescent="0.25">
      <c r="A108">
        <f t="shared" si="5"/>
        <v>107</v>
      </c>
      <c r="B108">
        <v>12985</v>
      </c>
      <c r="C108" t="s">
        <v>802</v>
      </c>
      <c r="D108" t="s">
        <v>139</v>
      </c>
      <c r="E108" t="s">
        <v>774</v>
      </c>
      <c r="F108">
        <v>16</v>
      </c>
      <c r="G108">
        <v>30</v>
      </c>
      <c r="H108">
        <v>146</v>
      </c>
      <c r="I108">
        <v>4.9000000000000004</v>
      </c>
      <c r="J108">
        <v>0</v>
      </c>
      <c r="K108">
        <v>13.8</v>
      </c>
      <c r="L108">
        <v>10</v>
      </c>
      <c r="M108">
        <v>95</v>
      </c>
      <c r="N108">
        <v>0</v>
      </c>
      <c r="O108">
        <v>1</v>
      </c>
      <c r="P108">
        <v>1</v>
      </c>
      <c r="Q108">
        <v>1.4</v>
      </c>
      <c r="R108">
        <v>22.1</v>
      </c>
      <c r="S108">
        <v>32.1</v>
      </c>
      <c r="T108">
        <f t="shared" si="4"/>
        <v>-62.9</v>
      </c>
    </row>
    <row r="109" spans="1:20" x14ac:dyDescent="0.25">
      <c r="A109">
        <f t="shared" si="5"/>
        <v>108</v>
      </c>
      <c r="B109">
        <v>13102</v>
      </c>
      <c r="C109" t="s">
        <v>454</v>
      </c>
      <c r="D109" t="s">
        <v>139</v>
      </c>
      <c r="E109" t="s">
        <v>404</v>
      </c>
      <c r="F109">
        <v>16</v>
      </c>
      <c r="G109">
        <v>30</v>
      </c>
      <c r="H109">
        <v>116</v>
      </c>
      <c r="I109">
        <v>3.9</v>
      </c>
      <c r="J109">
        <v>1</v>
      </c>
      <c r="K109">
        <v>15.4</v>
      </c>
      <c r="L109">
        <v>11</v>
      </c>
      <c r="M109">
        <v>74</v>
      </c>
      <c r="N109">
        <v>0</v>
      </c>
      <c r="O109">
        <v>2</v>
      </c>
      <c r="P109">
        <v>2</v>
      </c>
      <c r="Q109">
        <v>1.3</v>
      </c>
      <c r="R109">
        <v>21</v>
      </c>
      <c r="S109">
        <v>32</v>
      </c>
      <c r="T109">
        <f t="shared" si="4"/>
        <v>-63</v>
      </c>
    </row>
    <row r="110" spans="1:20" x14ac:dyDescent="0.25">
      <c r="A110">
        <f t="shared" si="5"/>
        <v>109</v>
      </c>
      <c r="B110">
        <v>16099</v>
      </c>
      <c r="C110" t="s">
        <v>190</v>
      </c>
      <c r="D110" t="s">
        <v>139</v>
      </c>
      <c r="E110" t="s">
        <v>167</v>
      </c>
      <c r="F110">
        <v>16</v>
      </c>
      <c r="G110">
        <v>20</v>
      </c>
      <c r="H110">
        <v>80</v>
      </c>
      <c r="I110">
        <v>4</v>
      </c>
      <c r="J110">
        <v>1</v>
      </c>
      <c r="K110">
        <v>13.5</v>
      </c>
      <c r="L110">
        <v>10</v>
      </c>
      <c r="M110">
        <v>71</v>
      </c>
      <c r="N110">
        <v>0</v>
      </c>
      <c r="O110">
        <v>0</v>
      </c>
      <c r="P110">
        <v>0</v>
      </c>
      <c r="Q110">
        <v>1.3</v>
      </c>
      <c r="R110">
        <v>21.1</v>
      </c>
      <c r="S110">
        <v>31.1</v>
      </c>
      <c r="T110">
        <f t="shared" si="4"/>
        <v>-63.9</v>
      </c>
    </row>
    <row r="111" spans="1:20" x14ac:dyDescent="0.25">
      <c r="A111">
        <f t="shared" si="5"/>
        <v>110</v>
      </c>
      <c r="B111">
        <v>14786</v>
      </c>
      <c r="C111" t="s">
        <v>181</v>
      </c>
      <c r="D111" t="s">
        <v>182</v>
      </c>
      <c r="E111" t="s">
        <v>162</v>
      </c>
      <c r="F111">
        <v>16</v>
      </c>
      <c r="G111">
        <v>5</v>
      </c>
      <c r="H111">
        <v>15</v>
      </c>
      <c r="I111">
        <v>3</v>
      </c>
      <c r="J111">
        <v>0</v>
      </c>
      <c r="K111">
        <v>17.7</v>
      </c>
      <c r="L111">
        <v>13</v>
      </c>
      <c r="M111">
        <v>101</v>
      </c>
      <c r="N111">
        <v>1</v>
      </c>
      <c r="O111">
        <v>0</v>
      </c>
      <c r="P111">
        <v>0</v>
      </c>
      <c r="Q111">
        <v>1.1000000000000001</v>
      </c>
      <c r="R111">
        <v>17.600000000000001</v>
      </c>
      <c r="S111">
        <v>30.6</v>
      </c>
      <c r="T111">
        <f t="shared" si="4"/>
        <v>-64.400000000000006</v>
      </c>
    </row>
    <row r="112" spans="1:20" x14ac:dyDescent="0.25">
      <c r="A112">
        <f t="shared" si="5"/>
        <v>111</v>
      </c>
      <c r="B112">
        <v>14731</v>
      </c>
      <c r="C112" t="s">
        <v>315</v>
      </c>
      <c r="D112" t="s">
        <v>139</v>
      </c>
      <c r="E112" t="s">
        <v>288</v>
      </c>
      <c r="F112">
        <v>16</v>
      </c>
      <c r="G112">
        <v>17</v>
      </c>
      <c r="H112">
        <v>71</v>
      </c>
      <c r="I112">
        <v>4.2</v>
      </c>
      <c r="J112">
        <v>0</v>
      </c>
      <c r="K112">
        <v>18.3</v>
      </c>
      <c r="L112">
        <v>13</v>
      </c>
      <c r="M112">
        <v>123</v>
      </c>
      <c r="N112">
        <v>0</v>
      </c>
      <c r="O112">
        <v>1</v>
      </c>
      <c r="P112">
        <v>1</v>
      </c>
      <c r="Q112">
        <v>1.1000000000000001</v>
      </c>
      <c r="R112">
        <v>17.399999999999999</v>
      </c>
      <c r="S112">
        <v>30.400000000000006</v>
      </c>
      <c r="T112">
        <f t="shared" si="4"/>
        <v>-64.599999999999994</v>
      </c>
    </row>
    <row r="113" spans="1:20" x14ac:dyDescent="0.25">
      <c r="A113">
        <f t="shared" si="5"/>
        <v>112</v>
      </c>
      <c r="B113">
        <v>14789</v>
      </c>
      <c r="C113" t="s">
        <v>679</v>
      </c>
      <c r="D113" t="s">
        <v>182</v>
      </c>
      <c r="E113" t="s">
        <v>644</v>
      </c>
      <c r="F113">
        <v>16</v>
      </c>
      <c r="G113">
        <v>21</v>
      </c>
      <c r="H113">
        <v>85</v>
      </c>
      <c r="I113">
        <v>4</v>
      </c>
      <c r="J113">
        <v>1</v>
      </c>
      <c r="K113">
        <v>13.2</v>
      </c>
      <c r="L113">
        <v>9</v>
      </c>
      <c r="M113">
        <v>68</v>
      </c>
      <c r="N113">
        <v>0</v>
      </c>
      <c r="O113">
        <v>0</v>
      </c>
      <c r="P113">
        <v>0</v>
      </c>
      <c r="Q113">
        <v>1.3</v>
      </c>
      <c r="R113">
        <v>21.3</v>
      </c>
      <c r="S113">
        <v>30.3</v>
      </c>
      <c r="T113">
        <f t="shared" si="4"/>
        <v>-64.7</v>
      </c>
    </row>
    <row r="114" spans="1:20" x14ac:dyDescent="0.25">
      <c r="A114">
        <f t="shared" si="5"/>
        <v>113</v>
      </c>
      <c r="B114">
        <v>14901</v>
      </c>
      <c r="C114" t="s">
        <v>191</v>
      </c>
      <c r="D114" t="s">
        <v>182</v>
      </c>
      <c r="E114" t="s">
        <v>167</v>
      </c>
      <c r="F114">
        <v>16</v>
      </c>
      <c r="G114">
        <v>2</v>
      </c>
      <c r="H114">
        <v>4</v>
      </c>
      <c r="I114">
        <v>2</v>
      </c>
      <c r="J114">
        <v>0</v>
      </c>
      <c r="K114">
        <v>19.2</v>
      </c>
      <c r="L114">
        <v>14</v>
      </c>
      <c r="M114">
        <v>118</v>
      </c>
      <c r="N114">
        <v>1</v>
      </c>
      <c r="O114">
        <v>1</v>
      </c>
      <c r="P114">
        <v>1</v>
      </c>
      <c r="Q114">
        <v>1</v>
      </c>
      <c r="R114">
        <v>16.2</v>
      </c>
      <c r="S114">
        <v>30.200000000000003</v>
      </c>
      <c r="T114">
        <f t="shared" si="4"/>
        <v>-64.8</v>
      </c>
    </row>
    <row r="115" spans="1:20" x14ac:dyDescent="0.25">
      <c r="A115">
        <f t="shared" si="5"/>
        <v>114</v>
      </c>
      <c r="B115">
        <v>16008</v>
      </c>
      <c r="C115" t="s">
        <v>662</v>
      </c>
      <c r="D115" t="s">
        <v>139</v>
      </c>
      <c r="E115" t="s">
        <v>635</v>
      </c>
      <c r="F115">
        <v>16</v>
      </c>
      <c r="G115">
        <v>29</v>
      </c>
      <c r="H115">
        <v>114</v>
      </c>
      <c r="I115">
        <v>3.9</v>
      </c>
      <c r="J115">
        <v>1</v>
      </c>
      <c r="K115">
        <v>8.6</v>
      </c>
      <c r="L115">
        <v>6</v>
      </c>
      <c r="M115">
        <v>55</v>
      </c>
      <c r="N115">
        <v>0</v>
      </c>
      <c r="O115">
        <v>0</v>
      </c>
      <c r="P115">
        <v>0</v>
      </c>
      <c r="Q115">
        <v>1.4</v>
      </c>
      <c r="R115">
        <v>22.9</v>
      </c>
      <c r="S115">
        <v>28.9</v>
      </c>
      <c r="T115">
        <f t="shared" si="4"/>
        <v>-66.099999999999994</v>
      </c>
    </row>
    <row r="116" spans="1:20" x14ac:dyDescent="0.25">
      <c r="A116">
        <f t="shared" si="5"/>
        <v>115</v>
      </c>
      <c r="B116">
        <v>17102</v>
      </c>
      <c r="C116" t="s">
        <v>820</v>
      </c>
      <c r="D116" t="s">
        <v>139</v>
      </c>
      <c r="E116" t="s">
        <v>787</v>
      </c>
      <c r="F116">
        <v>16</v>
      </c>
      <c r="G116">
        <v>40</v>
      </c>
      <c r="H116">
        <v>152</v>
      </c>
      <c r="I116">
        <v>3.8</v>
      </c>
      <c r="J116">
        <v>1</v>
      </c>
      <c r="K116">
        <v>8</v>
      </c>
      <c r="L116">
        <v>6</v>
      </c>
      <c r="M116">
        <v>47</v>
      </c>
      <c r="N116">
        <v>0</v>
      </c>
      <c r="O116">
        <v>2</v>
      </c>
      <c r="P116">
        <v>2</v>
      </c>
      <c r="Q116">
        <v>1.4</v>
      </c>
      <c r="R116">
        <v>21.9</v>
      </c>
      <c r="S116">
        <v>27.9</v>
      </c>
      <c r="T116">
        <f t="shared" si="4"/>
        <v>-67.099999999999994</v>
      </c>
    </row>
    <row r="117" spans="1:20" x14ac:dyDescent="0.25">
      <c r="A117">
        <f t="shared" si="5"/>
        <v>116</v>
      </c>
      <c r="B117">
        <v>15230</v>
      </c>
      <c r="C117" t="s">
        <v>142</v>
      </c>
      <c r="D117" t="s">
        <v>139</v>
      </c>
      <c r="E117" t="s">
        <v>135</v>
      </c>
      <c r="F117">
        <v>16</v>
      </c>
      <c r="G117">
        <v>22</v>
      </c>
      <c r="H117">
        <v>79</v>
      </c>
      <c r="I117">
        <v>3.6</v>
      </c>
      <c r="J117">
        <v>1</v>
      </c>
      <c r="K117">
        <v>9.5</v>
      </c>
      <c r="L117">
        <v>7</v>
      </c>
      <c r="M117">
        <v>50</v>
      </c>
      <c r="N117">
        <v>0</v>
      </c>
      <c r="O117">
        <v>0</v>
      </c>
      <c r="P117">
        <v>0</v>
      </c>
      <c r="Q117">
        <v>1.2</v>
      </c>
      <c r="R117">
        <v>18.899999999999999</v>
      </c>
      <c r="S117">
        <v>25.9</v>
      </c>
      <c r="T117">
        <f t="shared" si="4"/>
        <v>-69.099999999999994</v>
      </c>
    </row>
    <row r="118" spans="1:20" x14ac:dyDescent="0.25">
      <c r="A118">
        <f t="shared" si="5"/>
        <v>117</v>
      </c>
      <c r="B118">
        <v>17089</v>
      </c>
      <c r="C118" t="s">
        <v>183</v>
      </c>
      <c r="D118" t="s">
        <v>139</v>
      </c>
      <c r="E118" t="s">
        <v>162</v>
      </c>
      <c r="F118">
        <v>16</v>
      </c>
      <c r="G118">
        <v>27</v>
      </c>
      <c r="H118">
        <v>93</v>
      </c>
      <c r="I118">
        <v>3.4</v>
      </c>
      <c r="J118">
        <v>0</v>
      </c>
      <c r="K118">
        <v>12.5</v>
      </c>
      <c r="L118">
        <v>9</v>
      </c>
      <c r="M118">
        <v>67</v>
      </c>
      <c r="N118">
        <v>0</v>
      </c>
      <c r="O118">
        <v>0</v>
      </c>
      <c r="P118">
        <v>0</v>
      </c>
      <c r="Q118">
        <v>1</v>
      </c>
      <c r="R118">
        <v>16</v>
      </c>
      <c r="S118">
        <v>25</v>
      </c>
      <c r="T118">
        <f t="shared" si="4"/>
        <v>-70</v>
      </c>
    </row>
    <row r="119" spans="1:20" x14ac:dyDescent="0.25">
      <c r="A119">
        <f t="shared" si="5"/>
        <v>118</v>
      </c>
      <c r="B119">
        <v>16869</v>
      </c>
      <c r="C119" t="s">
        <v>815</v>
      </c>
      <c r="D119" t="s">
        <v>139</v>
      </c>
      <c r="E119" t="s">
        <v>783</v>
      </c>
      <c r="F119">
        <v>16</v>
      </c>
      <c r="G119">
        <v>7</v>
      </c>
      <c r="H119">
        <v>19</v>
      </c>
      <c r="I119">
        <v>2.7</v>
      </c>
      <c r="J119">
        <v>1</v>
      </c>
      <c r="K119">
        <v>7</v>
      </c>
      <c r="L119">
        <v>5</v>
      </c>
      <c r="M119">
        <v>49</v>
      </c>
      <c r="N119">
        <v>1</v>
      </c>
      <c r="O119">
        <v>0</v>
      </c>
      <c r="P119">
        <v>0</v>
      </c>
      <c r="Q119">
        <v>1.2</v>
      </c>
      <c r="R119">
        <v>18.8</v>
      </c>
      <c r="S119">
        <v>23.8</v>
      </c>
      <c r="T119">
        <f t="shared" si="4"/>
        <v>-71.2</v>
      </c>
    </row>
    <row r="120" spans="1:20" x14ac:dyDescent="0.25">
      <c r="A120">
        <f t="shared" si="5"/>
        <v>119</v>
      </c>
      <c r="B120">
        <v>15616</v>
      </c>
      <c r="C120" t="s">
        <v>205</v>
      </c>
      <c r="D120" t="s">
        <v>139</v>
      </c>
      <c r="E120" t="s">
        <v>176</v>
      </c>
      <c r="F120">
        <v>16</v>
      </c>
      <c r="G120">
        <v>20</v>
      </c>
      <c r="H120">
        <v>83</v>
      </c>
      <c r="I120">
        <v>4.2</v>
      </c>
      <c r="J120">
        <v>0</v>
      </c>
      <c r="K120">
        <v>13.3</v>
      </c>
      <c r="L120">
        <v>9</v>
      </c>
      <c r="M120">
        <v>62</v>
      </c>
      <c r="N120">
        <v>0</v>
      </c>
      <c r="O120">
        <v>0</v>
      </c>
      <c r="P120">
        <v>0</v>
      </c>
      <c r="Q120">
        <v>0.9</v>
      </c>
      <c r="R120">
        <v>14.5</v>
      </c>
      <c r="S120">
        <v>23.5</v>
      </c>
      <c r="T120">
        <f t="shared" si="4"/>
        <v>-71.5</v>
      </c>
    </row>
    <row r="121" spans="1:20" x14ac:dyDescent="0.25">
      <c r="A121">
        <f t="shared" si="5"/>
        <v>120.5</v>
      </c>
      <c r="B121">
        <v>18088</v>
      </c>
      <c r="C121" t="s">
        <v>797</v>
      </c>
      <c r="D121" t="s">
        <v>139</v>
      </c>
      <c r="E121" t="s">
        <v>772</v>
      </c>
      <c r="F121">
        <v>16</v>
      </c>
      <c r="G121">
        <v>37</v>
      </c>
      <c r="H121">
        <v>141</v>
      </c>
      <c r="I121">
        <v>3.8</v>
      </c>
      <c r="J121">
        <v>1</v>
      </c>
      <c r="K121">
        <v>2.7</v>
      </c>
      <c r="L121">
        <v>2</v>
      </c>
      <c r="M121">
        <v>12</v>
      </c>
      <c r="N121">
        <v>0</v>
      </c>
      <c r="O121">
        <v>0</v>
      </c>
      <c r="P121">
        <v>0</v>
      </c>
      <c r="Q121">
        <v>1.3</v>
      </c>
      <c r="R121">
        <v>21.3</v>
      </c>
      <c r="S121">
        <v>23.3</v>
      </c>
      <c r="T121">
        <f t="shared" si="4"/>
        <v>-71.7</v>
      </c>
    </row>
    <row r="122" spans="1:20" x14ac:dyDescent="0.25">
      <c r="A122">
        <f t="shared" si="5"/>
        <v>120.5</v>
      </c>
      <c r="B122">
        <v>15467</v>
      </c>
      <c r="C122" t="s">
        <v>803</v>
      </c>
      <c r="D122" t="s">
        <v>182</v>
      </c>
      <c r="E122" t="s">
        <v>774</v>
      </c>
      <c r="F122">
        <v>16</v>
      </c>
      <c r="G122">
        <v>26</v>
      </c>
      <c r="H122">
        <v>101</v>
      </c>
      <c r="I122">
        <v>3.9</v>
      </c>
      <c r="J122">
        <v>0</v>
      </c>
      <c r="K122">
        <v>10.5</v>
      </c>
      <c r="L122">
        <v>8</v>
      </c>
      <c r="M122">
        <v>52</v>
      </c>
      <c r="N122">
        <v>0</v>
      </c>
      <c r="O122">
        <v>0</v>
      </c>
      <c r="P122">
        <v>0</v>
      </c>
      <c r="Q122">
        <v>1</v>
      </c>
      <c r="R122">
        <v>15.3</v>
      </c>
      <c r="S122">
        <v>23.3</v>
      </c>
      <c r="T122">
        <f t="shared" si="4"/>
        <v>-71.7</v>
      </c>
    </row>
    <row r="123" spans="1:20" x14ac:dyDescent="0.25">
      <c r="A123">
        <f t="shared" si="5"/>
        <v>122</v>
      </c>
      <c r="B123">
        <v>16699</v>
      </c>
      <c r="C123" t="s">
        <v>687</v>
      </c>
      <c r="D123" t="s">
        <v>139</v>
      </c>
      <c r="E123" t="s">
        <v>648</v>
      </c>
      <c r="F123">
        <v>16</v>
      </c>
      <c r="G123">
        <v>23</v>
      </c>
      <c r="H123">
        <v>82</v>
      </c>
      <c r="I123">
        <v>3.6</v>
      </c>
      <c r="J123">
        <v>1</v>
      </c>
      <c r="K123">
        <v>8.6</v>
      </c>
      <c r="L123">
        <v>6</v>
      </c>
      <c r="M123">
        <v>51</v>
      </c>
      <c r="N123">
        <v>0</v>
      </c>
      <c r="O123">
        <v>1</v>
      </c>
      <c r="P123">
        <v>1</v>
      </c>
      <c r="Q123">
        <v>1.1000000000000001</v>
      </c>
      <c r="R123">
        <v>17.3</v>
      </c>
      <c r="S123">
        <v>23.299999999999997</v>
      </c>
      <c r="T123">
        <f t="shared" si="4"/>
        <v>-71.7</v>
      </c>
    </row>
    <row r="124" spans="1:20" x14ac:dyDescent="0.25">
      <c r="A124">
        <f t="shared" si="5"/>
        <v>123</v>
      </c>
      <c r="B124">
        <v>16287</v>
      </c>
      <c r="C124" t="s">
        <v>321</v>
      </c>
      <c r="D124" t="s">
        <v>139</v>
      </c>
      <c r="E124" t="s">
        <v>292</v>
      </c>
      <c r="F124">
        <v>16</v>
      </c>
      <c r="G124">
        <v>24</v>
      </c>
      <c r="H124">
        <v>83</v>
      </c>
      <c r="I124">
        <v>3.5</v>
      </c>
      <c r="J124">
        <v>1</v>
      </c>
      <c r="K124">
        <v>7</v>
      </c>
      <c r="L124">
        <v>5</v>
      </c>
      <c r="M124">
        <v>36</v>
      </c>
      <c r="N124">
        <v>0</v>
      </c>
      <c r="O124">
        <v>0</v>
      </c>
      <c r="P124">
        <v>0</v>
      </c>
      <c r="Q124">
        <v>1.1000000000000001</v>
      </c>
      <c r="R124">
        <v>17.899999999999999</v>
      </c>
      <c r="S124">
        <v>22.900000000000002</v>
      </c>
      <c r="T124">
        <f t="shared" si="4"/>
        <v>-72.099999999999994</v>
      </c>
    </row>
    <row r="125" spans="1:20" x14ac:dyDescent="0.25">
      <c r="A125">
        <f t="shared" si="5"/>
        <v>124</v>
      </c>
      <c r="B125">
        <v>16421</v>
      </c>
      <c r="C125" t="s">
        <v>821</v>
      </c>
      <c r="D125" t="s">
        <v>139</v>
      </c>
      <c r="E125" t="s">
        <v>787</v>
      </c>
      <c r="F125">
        <v>16</v>
      </c>
      <c r="G125">
        <v>44</v>
      </c>
      <c r="H125">
        <v>171</v>
      </c>
      <c r="I125">
        <v>3.9</v>
      </c>
      <c r="J125">
        <v>0</v>
      </c>
      <c r="K125">
        <v>2.8</v>
      </c>
      <c r="L125">
        <v>2</v>
      </c>
      <c r="M125">
        <v>37</v>
      </c>
      <c r="N125">
        <v>0</v>
      </c>
      <c r="O125">
        <v>0</v>
      </c>
      <c r="P125">
        <v>0</v>
      </c>
      <c r="Q125">
        <v>1.3</v>
      </c>
      <c r="R125">
        <v>20.8</v>
      </c>
      <c r="S125">
        <v>22.8</v>
      </c>
      <c r="T125">
        <f t="shared" si="4"/>
        <v>-72.2</v>
      </c>
    </row>
    <row r="126" spans="1:20" x14ac:dyDescent="0.25">
      <c r="A126">
        <f t="shared" si="5"/>
        <v>125</v>
      </c>
      <c r="B126">
        <v>15185</v>
      </c>
      <c r="C126" t="s">
        <v>684</v>
      </c>
      <c r="D126" t="s">
        <v>139</v>
      </c>
      <c r="E126" t="s">
        <v>107</v>
      </c>
      <c r="F126">
        <v>16</v>
      </c>
      <c r="G126">
        <v>19</v>
      </c>
      <c r="H126">
        <v>84</v>
      </c>
      <c r="I126">
        <v>4.4000000000000004</v>
      </c>
      <c r="J126">
        <v>1</v>
      </c>
      <c r="K126">
        <v>13.1</v>
      </c>
      <c r="L126">
        <v>9</v>
      </c>
      <c r="M126">
        <v>53</v>
      </c>
      <c r="N126">
        <v>0</v>
      </c>
      <c r="O126">
        <v>3</v>
      </c>
      <c r="P126">
        <v>3</v>
      </c>
      <c r="Q126">
        <v>0.9</v>
      </c>
      <c r="R126">
        <v>13.7</v>
      </c>
      <c r="S126">
        <v>22.7</v>
      </c>
      <c r="T126">
        <f t="shared" si="4"/>
        <v>-72.3</v>
      </c>
    </row>
    <row r="127" spans="1:20" x14ac:dyDescent="0.25">
      <c r="A127">
        <f t="shared" si="5"/>
        <v>126</v>
      </c>
      <c r="B127">
        <v>18114</v>
      </c>
      <c r="C127" t="s">
        <v>807</v>
      </c>
      <c r="D127" t="s">
        <v>182</v>
      </c>
      <c r="E127" t="s">
        <v>779</v>
      </c>
      <c r="F127">
        <v>16</v>
      </c>
      <c r="G127">
        <v>8</v>
      </c>
      <c r="H127">
        <v>26</v>
      </c>
      <c r="I127">
        <v>3.2</v>
      </c>
      <c r="J127">
        <v>0</v>
      </c>
      <c r="K127">
        <v>16.3</v>
      </c>
      <c r="L127">
        <v>11</v>
      </c>
      <c r="M127">
        <v>85</v>
      </c>
      <c r="N127">
        <v>0</v>
      </c>
      <c r="O127">
        <v>0</v>
      </c>
      <c r="P127">
        <v>0</v>
      </c>
      <c r="Q127">
        <v>0.7</v>
      </c>
      <c r="R127">
        <v>11.1</v>
      </c>
      <c r="S127">
        <v>22.1</v>
      </c>
      <c r="T127">
        <f t="shared" si="4"/>
        <v>-72.900000000000006</v>
      </c>
    </row>
    <row r="128" spans="1:20" x14ac:dyDescent="0.25">
      <c r="A128">
        <f t="shared" si="5"/>
        <v>127</v>
      </c>
      <c r="B128">
        <v>13852</v>
      </c>
      <c r="C128" t="s">
        <v>663</v>
      </c>
      <c r="D128" t="s">
        <v>139</v>
      </c>
      <c r="E128" t="s">
        <v>635</v>
      </c>
      <c r="F128">
        <v>16</v>
      </c>
      <c r="G128">
        <v>18</v>
      </c>
      <c r="H128">
        <v>75</v>
      </c>
      <c r="I128">
        <v>4.2</v>
      </c>
      <c r="J128">
        <v>0</v>
      </c>
      <c r="K128">
        <v>12.3</v>
      </c>
      <c r="L128">
        <v>9</v>
      </c>
      <c r="M128">
        <v>69</v>
      </c>
      <c r="N128">
        <v>0</v>
      </c>
      <c r="O128">
        <v>1</v>
      </c>
      <c r="P128">
        <v>1</v>
      </c>
      <c r="Q128">
        <v>0.8</v>
      </c>
      <c r="R128">
        <v>12.4</v>
      </c>
      <c r="S128">
        <v>21.4</v>
      </c>
      <c r="T128">
        <f t="shared" si="4"/>
        <v>-73.599999999999994</v>
      </c>
    </row>
    <row r="129" spans="1:20" x14ac:dyDescent="0.25">
      <c r="A129">
        <f t="shared" si="5"/>
        <v>128</v>
      </c>
      <c r="B129">
        <v>16402</v>
      </c>
      <c r="C129" t="s">
        <v>664</v>
      </c>
      <c r="D129" t="s">
        <v>139</v>
      </c>
      <c r="E129" t="s">
        <v>635</v>
      </c>
      <c r="F129">
        <v>16</v>
      </c>
      <c r="G129">
        <v>29</v>
      </c>
      <c r="H129">
        <v>102</v>
      </c>
      <c r="I129">
        <v>3.5</v>
      </c>
      <c r="J129">
        <v>1</v>
      </c>
      <c r="K129">
        <v>5.6</v>
      </c>
      <c r="L129">
        <v>4</v>
      </c>
      <c r="M129">
        <v>23</v>
      </c>
      <c r="N129">
        <v>0</v>
      </c>
      <c r="O129">
        <v>1</v>
      </c>
      <c r="P129">
        <v>1</v>
      </c>
      <c r="Q129">
        <v>1</v>
      </c>
      <c r="R129">
        <v>16.5</v>
      </c>
      <c r="S129">
        <v>20.5</v>
      </c>
      <c r="T129">
        <f t="shared" si="4"/>
        <v>-74.5</v>
      </c>
    </row>
    <row r="130" spans="1:20" x14ac:dyDescent="0.25">
      <c r="A130">
        <f t="shared" ref="A130:A161" si="6">_xlfn.RANK.AVG(S130,$S$2:$S$190,0)</f>
        <v>129</v>
      </c>
      <c r="B130">
        <v>16887</v>
      </c>
      <c r="C130" t="s">
        <v>804</v>
      </c>
      <c r="D130" t="s">
        <v>139</v>
      </c>
      <c r="E130" t="s">
        <v>774</v>
      </c>
      <c r="F130">
        <v>16</v>
      </c>
      <c r="G130">
        <v>24</v>
      </c>
      <c r="H130">
        <v>85</v>
      </c>
      <c r="I130">
        <v>3.5</v>
      </c>
      <c r="J130">
        <v>0</v>
      </c>
      <c r="K130">
        <v>10.4</v>
      </c>
      <c r="L130">
        <v>7</v>
      </c>
      <c r="M130">
        <v>48</v>
      </c>
      <c r="N130">
        <v>0</v>
      </c>
      <c r="O130">
        <v>0</v>
      </c>
      <c r="P130">
        <v>0</v>
      </c>
      <c r="Q130">
        <v>0.8</v>
      </c>
      <c r="R130">
        <v>13.3</v>
      </c>
      <c r="S130">
        <v>20.3</v>
      </c>
      <c r="T130">
        <f t="shared" si="4"/>
        <v>-74.7</v>
      </c>
    </row>
    <row r="131" spans="1:20" x14ac:dyDescent="0.25">
      <c r="A131">
        <f t="shared" si="6"/>
        <v>130</v>
      </c>
      <c r="B131">
        <v>16928</v>
      </c>
      <c r="C131" t="s">
        <v>437</v>
      </c>
      <c r="D131" t="s">
        <v>182</v>
      </c>
      <c r="E131" t="s">
        <v>393</v>
      </c>
      <c r="F131">
        <v>16</v>
      </c>
      <c r="G131">
        <v>8</v>
      </c>
      <c r="H131">
        <v>12</v>
      </c>
      <c r="I131">
        <v>1.5</v>
      </c>
      <c r="J131">
        <v>0</v>
      </c>
      <c r="K131">
        <v>9.5</v>
      </c>
      <c r="L131">
        <v>7</v>
      </c>
      <c r="M131">
        <v>59</v>
      </c>
      <c r="N131">
        <v>1</v>
      </c>
      <c r="O131">
        <v>0</v>
      </c>
      <c r="P131">
        <v>0</v>
      </c>
      <c r="Q131">
        <v>0.8</v>
      </c>
      <c r="R131">
        <v>13.1</v>
      </c>
      <c r="S131">
        <v>20.100000000000001</v>
      </c>
      <c r="T131">
        <f t="shared" ref="T131:T190" si="7">S131-$V$1</f>
        <v>-74.900000000000006</v>
      </c>
    </row>
    <row r="132" spans="1:20" x14ac:dyDescent="0.25">
      <c r="A132">
        <f t="shared" si="6"/>
        <v>131</v>
      </c>
      <c r="B132">
        <v>14421</v>
      </c>
      <c r="C132" t="s">
        <v>478</v>
      </c>
      <c r="D132" t="s">
        <v>139</v>
      </c>
      <c r="E132" t="s">
        <v>421</v>
      </c>
      <c r="F132">
        <v>16</v>
      </c>
      <c r="G132">
        <v>19</v>
      </c>
      <c r="H132">
        <v>82</v>
      </c>
      <c r="I132">
        <v>4.3</v>
      </c>
      <c r="J132">
        <v>0</v>
      </c>
      <c r="K132">
        <v>8.5</v>
      </c>
      <c r="L132">
        <v>6</v>
      </c>
      <c r="M132">
        <v>46</v>
      </c>
      <c r="N132">
        <v>0</v>
      </c>
      <c r="O132">
        <v>0</v>
      </c>
      <c r="P132">
        <v>0</v>
      </c>
      <c r="Q132">
        <v>0.8</v>
      </c>
      <c r="R132">
        <v>12.8</v>
      </c>
      <c r="S132">
        <v>18.799999999999997</v>
      </c>
      <c r="T132">
        <f t="shared" si="7"/>
        <v>-76.2</v>
      </c>
    </row>
    <row r="133" spans="1:20" x14ac:dyDescent="0.25">
      <c r="A133">
        <f t="shared" si="6"/>
        <v>132</v>
      </c>
      <c r="B133">
        <v>14620</v>
      </c>
      <c r="C133" t="s">
        <v>665</v>
      </c>
      <c r="D133" t="s">
        <v>182</v>
      </c>
      <c r="E133" t="s">
        <v>635</v>
      </c>
      <c r="F133">
        <v>16</v>
      </c>
      <c r="G133">
        <v>8</v>
      </c>
      <c r="H133">
        <v>21</v>
      </c>
      <c r="I133">
        <v>2.6</v>
      </c>
      <c r="J133">
        <v>1</v>
      </c>
      <c r="K133">
        <v>7.1</v>
      </c>
      <c r="L133">
        <v>5</v>
      </c>
      <c r="M133">
        <v>30</v>
      </c>
      <c r="N133">
        <v>0</v>
      </c>
      <c r="O133">
        <v>0</v>
      </c>
      <c r="P133">
        <v>0</v>
      </c>
      <c r="Q133">
        <v>0.7</v>
      </c>
      <c r="R133">
        <v>11.1</v>
      </c>
      <c r="S133">
        <v>16.100000000000001</v>
      </c>
      <c r="T133">
        <f t="shared" si="7"/>
        <v>-78.900000000000006</v>
      </c>
    </row>
    <row r="134" spans="1:20" x14ac:dyDescent="0.25">
      <c r="A134">
        <f t="shared" si="6"/>
        <v>133</v>
      </c>
      <c r="B134">
        <v>16966</v>
      </c>
      <c r="C134" t="s">
        <v>442</v>
      </c>
      <c r="D134" t="s">
        <v>182</v>
      </c>
      <c r="E134" t="s">
        <v>397</v>
      </c>
      <c r="F134">
        <v>16</v>
      </c>
      <c r="G134">
        <v>9</v>
      </c>
      <c r="H134">
        <v>37</v>
      </c>
      <c r="I134">
        <v>4.0999999999999996</v>
      </c>
      <c r="J134">
        <v>0</v>
      </c>
      <c r="K134">
        <v>8</v>
      </c>
      <c r="L134">
        <v>6</v>
      </c>
      <c r="M134">
        <v>63</v>
      </c>
      <c r="N134">
        <v>0</v>
      </c>
      <c r="O134">
        <v>0</v>
      </c>
      <c r="P134">
        <v>0</v>
      </c>
      <c r="Q134">
        <v>0.6</v>
      </c>
      <c r="R134">
        <v>10</v>
      </c>
      <c r="S134">
        <v>16</v>
      </c>
      <c r="T134">
        <f t="shared" si="7"/>
        <v>-79</v>
      </c>
    </row>
    <row r="135" spans="1:20" x14ac:dyDescent="0.25">
      <c r="A135">
        <f t="shared" si="6"/>
        <v>134</v>
      </c>
      <c r="B135">
        <v>17026</v>
      </c>
      <c r="C135" t="s">
        <v>443</v>
      </c>
      <c r="D135" t="s">
        <v>139</v>
      </c>
      <c r="E135" t="s">
        <v>397</v>
      </c>
      <c r="F135">
        <v>16</v>
      </c>
      <c r="G135">
        <v>22</v>
      </c>
      <c r="H135">
        <v>74</v>
      </c>
      <c r="I135">
        <v>3.4</v>
      </c>
      <c r="J135">
        <v>0</v>
      </c>
      <c r="K135">
        <v>7</v>
      </c>
      <c r="L135">
        <v>5</v>
      </c>
      <c r="M135">
        <v>35</v>
      </c>
      <c r="N135">
        <v>0</v>
      </c>
      <c r="O135">
        <v>0</v>
      </c>
      <c r="P135">
        <v>0</v>
      </c>
      <c r="Q135">
        <v>0.7</v>
      </c>
      <c r="R135">
        <v>10.9</v>
      </c>
      <c r="S135">
        <v>15.9</v>
      </c>
      <c r="T135">
        <f t="shared" si="7"/>
        <v>-79.099999999999994</v>
      </c>
    </row>
    <row r="136" spans="1:20" x14ac:dyDescent="0.25">
      <c r="A136">
        <f t="shared" si="6"/>
        <v>135</v>
      </c>
      <c r="B136">
        <v>15010</v>
      </c>
      <c r="C136" t="s">
        <v>143</v>
      </c>
      <c r="D136" t="s">
        <v>139</v>
      </c>
      <c r="E136" t="s">
        <v>135</v>
      </c>
      <c r="F136">
        <v>16</v>
      </c>
      <c r="G136">
        <v>16</v>
      </c>
      <c r="H136">
        <v>60</v>
      </c>
      <c r="I136">
        <v>3.8</v>
      </c>
      <c r="J136">
        <v>1</v>
      </c>
      <c r="K136">
        <v>2.7</v>
      </c>
      <c r="L136">
        <v>2</v>
      </c>
      <c r="M136">
        <v>16</v>
      </c>
      <c r="N136">
        <v>0</v>
      </c>
      <c r="O136">
        <v>0</v>
      </c>
      <c r="P136">
        <v>0</v>
      </c>
      <c r="Q136">
        <v>0.8</v>
      </c>
      <c r="R136">
        <v>13.6</v>
      </c>
      <c r="S136">
        <v>15.6</v>
      </c>
      <c r="T136">
        <f t="shared" si="7"/>
        <v>-79.400000000000006</v>
      </c>
    </row>
    <row r="137" spans="1:20" x14ac:dyDescent="0.25">
      <c r="A137">
        <f t="shared" si="6"/>
        <v>136</v>
      </c>
      <c r="B137">
        <v>18073</v>
      </c>
      <c r="C137" t="s">
        <v>197</v>
      </c>
      <c r="D137" t="s">
        <v>139</v>
      </c>
      <c r="E137" t="s">
        <v>172</v>
      </c>
      <c r="F137">
        <v>16</v>
      </c>
      <c r="G137">
        <v>13</v>
      </c>
      <c r="H137">
        <v>58</v>
      </c>
      <c r="I137">
        <v>4.5</v>
      </c>
      <c r="J137">
        <v>1</v>
      </c>
      <c r="K137">
        <v>2.8</v>
      </c>
      <c r="L137">
        <v>2</v>
      </c>
      <c r="M137">
        <v>10</v>
      </c>
      <c r="N137">
        <v>0</v>
      </c>
      <c r="O137">
        <v>0</v>
      </c>
      <c r="P137">
        <v>0</v>
      </c>
      <c r="Q137">
        <v>0.8</v>
      </c>
      <c r="R137">
        <v>12.8</v>
      </c>
      <c r="S137">
        <v>14.8</v>
      </c>
      <c r="T137">
        <f t="shared" si="7"/>
        <v>-80.2</v>
      </c>
    </row>
    <row r="138" spans="1:20" x14ac:dyDescent="0.25">
      <c r="A138">
        <f t="shared" si="6"/>
        <v>137</v>
      </c>
      <c r="B138">
        <v>14891</v>
      </c>
      <c r="C138" t="s">
        <v>670</v>
      </c>
      <c r="D138" t="s">
        <v>182</v>
      </c>
      <c r="E138" t="s">
        <v>639</v>
      </c>
      <c r="F138">
        <v>16</v>
      </c>
      <c r="G138">
        <v>4</v>
      </c>
      <c r="H138">
        <v>7</v>
      </c>
      <c r="I138">
        <v>1.8</v>
      </c>
      <c r="J138">
        <v>0</v>
      </c>
      <c r="K138">
        <v>8</v>
      </c>
      <c r="L138">
        <v>6</v>
      </c>
      <c r="M138">
        <v>77</v>
      </c>
      <c r="N138">
        <v>0</v>
      </c>
      <c r="O138">
        <v>0</v>
      </c>
      <c r="P138">
        <v>0</v>
      </c>
      <c r="Q138">
        <v>0.5</v>
      </c>
      <c r="R138">
        <v>8.4</v>
      </c>
      <c r="S138">
        <v>14.4</v>
      </c>
      <c r="T138">
        <f t="shared" si="7"/>
        <v>-80.599999999999994</v>
      </c>
    </row>
    <row r="139" spans="1:20" x14ac:dyDescent="0.25">
      <c r="A139">
        <f t="shared" si="6"/>
        <v>138</v>
      </c>
      <c r="B139">
        <v>15202</v>
      </c>
      <c r="C139" t="s">
        <v>808</v>
      </c>
      <c r="D139" t="s">
        <v>139</v>
      </c>
      <c r="E139" t="s">
        <v>779</v>
      </c>
      <c r="F139">
        <v>16</v>
      </c>
      <c r="G139">
        <v>19</v>
      </c>
      <c r="H139">
        <v>78</v>
      </c>
      <c r="I139">
        <v>4.0999999999999996</v>
      </c>
      <c r="J139">
        <v>0</v>
      </c>
      <c r="K139">
        <v>5.7</v>
      </c>
      <c r="L139">
        <v>4</v>
      </c>
      <c r="M139">
        <v>24</v>
      </c>
      <c r="N139">
        <v>0</v>
      </c>
      <c r="O139">
        <v>0</v>
      </c>
      <c r="P139">
        <v>0</v>
      </c>
      <c r="Q139">
        <v>0.6</v>
      </c>
      <c r="R139">
        <v>10.199999999999999</v>
      </c>
      <c r="S139">
        <v>14.200000000000001</v>
      </c>
      <c r="T139">
        <f t="shared" si="7"/>
        <v>-80.8</v>
      </c>
    </row>
    <row r="140" spans="1:20" x14ac:dyDescent="0.25">
      <c r="A140">
        <f t="shared" si="6"/>
        <v>139</v>
      </c>
      <c r="B140">
        <v>18152</v>
      </c>
      <c r="C140" t="s">
        <v>438</v>
      </c>
      <c r="D140" t="s">
        <v>139</v>
      </c>
      <c r="E140" t="s">
        <v>393</v>
      </c>
      <c r="F140">
        <v>16</v>
      </c>
      <c r="G140">
        <v>14</v>
      </c>
      <c r="H140">
        <v>59</v>
      </c>
      <c r="I140">
        <v>4.2</v>
      </c>
      <c r="J140">
        <v>1</v>
      </c>
      <c r="K140">
        <v>1.5</v>
      </c>
      <c r="L140">
        <v>1</v>
      </c>
      <c r="M140">
        <v>7</v>
      </c>
      <c r="N140">
        <v>0</v>
      </c>
      <c r="O140">
        <v>0</v>
      </c>
      <c r="P140">
        <v>0</v>
      </c>
      <c r="Q140">
        <v>0.8</v>
      </c>
      <c r="R140">
        <v>12.6</v>
      </c>
      <c r="S140">
        <v>13.6</v>
      </c>
      <c r="T140">
        <f t="shared" si="7"/>
        <v>-81.400000000000006</v>
      </c>
    </row>
    <row r="141" spans="1:20" x14ac:dyDescent="0.25">
      <c r="A141">
        <f t="shared" si="6"/>
        <v>140</v>
      </c>
      <c r="B141">
        <v>8604</v>
      </c>
      <c r="C141" t="s">
        <v>489</v>
      </c>
      <c r="D141" t="s">
        <v>139</v>
      </c>
      <c r="E141" t="s">
        <v>430</v>
      </c>
      <c r="F141">
        <v>16</v>
      </c>
      <c r="G141">
        <v>18</v>
      </c>
      <c r="H141">
        <v>76</v>
      </c>
      <c r="I141">
        <v>4.2</v>
      </c>
      <c r="J141">
        <v>0</v>
      </c>
      <c r="K141">
        <v>4.3</v>
      </c>
      <c r="L141">
        <v>3</v>
      </c>
      <c r="M141">
        <v>28</v>
      </c>
      <c r="N141">
        <v>0</v>
      </c>
      <c r="O141">
        <v>0</v>
      </c>
      <c r="P141">
        <v>0</v>
      </c>
      <c r="Q141">
        <v>0.6</v>
      </c>
      <c r="R141">
        <v>10.4</v>
      </c>
      <c r="S141">
        <v>13.399999999999999</v>
      </c>
      <c r="T141">
        <f t="shared" si="7"/>
        <v>-81.599999999999994</v>
      </c>
    </row>
    <row r="142" spans="1:20" x14ac:dyDescent="0.25">
      <c r="A142">
        <f t="shared" si="6"/>
        <v>141</v>
      </c>
      <c r="B142">
        <v>15221</v>
      </c>
      <c r="C142" t="s">
        <v>671</v>
      </c>
      <c r="D142" t="s">
        <v>139</v>
      </c>
      <c r="E142" t="s">
        <v>639</v>
      </c>
      <c r="F142">
        <v>16</v>
      </c>
      <c r="G142">
        <v>18</v>
      </c>
      <c r="H142">
        <v>64</v>
      </c>
      <c r="I142">
        <v>3.6</v>
      </c>
      <c r="J142">
        <v>0</v>
      </c>
      <c r="K142">
        <v>4</v>
      </c>
      <c r="L142">
        <v>3</v>
      </c>
      <c r="M142">
        <v>25</v>
      </c>
      <c r="N142">
        <v>0</v>
      </c>
      <c r="O142">
        <v>0</v>
      </c>
      <c r="P142">
        <v>0</v>
      </c>
      <c r="Q142">
        <v>0.6</v>
      </c>
      <c r="R142">
        <v>8.9</v>
      </c>
      <c r="S142">
        <v>11.9</v>
      </c>
      <c r="T142">
        <f t="shared" si="7"/>
        <v>-83.1</v>
      </c>
    </row>
    <row r="143" spans="1:20" x14ac:dyDescent="0.25">
      <c r="A143">
        <f t="shared" si="6"/>
        <v>142.5</v>
      </c>
      <c r="B143">
        <v>17217</v>
      </c>
      <c r="C143" t="s">
        <v>307</v>
      </c>
      <c r="D143" t="s">
        <v>139</v>
      </c>
      <c r="E143" t="s">
        <v>283</v>
      </c>
      <c r="F143">
        <v>16</v>
      </c>
      <c r="G143">
        <v>7</v>
      </c>
      <c r="H143">
        <v>32</v>
      </c>
      <c r="I143">
        <v>4.5999999999999996</v>
      </c>
      <c r="J143">
        <v>0</v>
      </c>
      <c r="K143">
        <v>6.8</v>
      </c>
      <c r="L143">
        <v>5</v>
      </c>
      <c r="M143">
        <v>32</v>
      </c>
      <c r="N143">
        <v>0</v>
      </c>
      <c r="O143">
        <v>0</v>
      </c>
      <c r="P143">
        <v>0</v>
      </c>
      <c r="Q143">
        <v>0.4</v>
      </c>
      <c r="R143">
        <v>6.4</v>
      </c>
      <c r="S143">
        <v>11.399999999999999</v>
      </c>
      <c r="T143">
        <f t="shared" si="7"/>
        <v>-83.6</v>
      </c>
    </row>
    <row r="144" spans="1:20" x14ac:dyDescent="0.25">
      <c r="A144">
        <f t="shared" si="6"/>
        <v>142.5</v>
      </c>
      <c r="B144">
        <v>17360</v>
      </c>
      <c r="C144" t="s">
        <v>316</v>
      </c>
      <c r="D144" t="s">
        <v>139</v>
      </c>
      <c r="E144" t="s">
        <v>288</v>
      </c>
      <c r="F144">
        <v>16</v>
      </c>
      <c r="G144">
        <v>9</v>
      </c>
      <c r="H144">
        <v>61</v>
      </c>
      <c r="I144">
        <v>6.8</v>
      </c>
      <c r="J144">
        <v>0</v>
      </c>
      <c r="K144">
        <v>3.9</v>
      </c>
      <c r="L144">
        <v>3</v>
      </c>
      <c r="M144">
        <v>23</v>
      </c>
      <c r="N144">
        <v>0</v>
      </c>
      <c r="O144">
        <v>0</v>
      </c>
      <c r="P144">
        <v>0</v>
      </c>
      <c r="Q144">
        <v>0.5</v>
      </c>
      <c r="R144">
        <v>8.4</v>
      </c>
      <c r="S144">
        <v>11.399999999999999</v>
      </c>
      <c r="T144">
        <f t="shared" si="7"/>
        <v>-83.6</v>
      </c>
    </row>
    <row r="145" spans="1:20" x14ac:dyDescent="0.25">
      <c r="A145">
        <f t="shared" si="6"/>
        <v>144</v>
      </c>
      <c r="B145">
        <v>14352</v>
      </c>
      <c r="C145" t="s">
        <v>654</v>
      </c>
      <c r="D145" t="s">
        <v>139</v>
      </c>
      <c r="E145" t="s">
        <v>631</v>
      </c>
      <c r="F145">
        <v>16</v>
      </c>
      <c r="G145">
        <v>3</v>
      </c>
      <c r="H145">
        <v>9</v>
      </c>
      <c r="I145">
        <v>3</v>
      </c>
      <c r="J145">
        <v>0</v>
      </c>
      <c r="K145">
        <v>7.1</v>
      </c>
      <c r="L145">
        <v>5</v>
      </c>
      <c r="M145">
        <v>54</v>
      </c>
      <c r="N145">
        <v>0</v>
      </c>
      <c r="O145">
        <v>0</v>
      </c>
      <c r="P145">
        <v>0</v>
      </c>
      <c r="Q145">
        <v>0.4</v>
      </c>
      <c r="R145">
        <v>6.3</v>
      </c>
      <c r="S145">
        <v>11.3</v>
      </c>
      <c r="T145">
        <f t="shared" si="7"/>
        <v>-83.7</v>
      </c>
    </row>
    <row r="146" spans="1:20" x14ac:dyDescent="0.25">
      <c r="A146">
        <f t="shared" si="6"/>
        <v>145</v>
      </c>
      <c r="B146">
        <v>14917</v>
      </c>
      <c r="C146" t="s">
        <v>303</v>
      </c>
      <c r="D146" t="s">
        <v>139</v>
      </c>
      <c r="E146" t="s">
        <v>279</v>
      </c>
      <c r="F146">
        <v>16</v>
      </c>
      <c r="G146">
        <v>4</v>
      </c>
      <c r="H146">
        <v>18</v>
      </c>
      <c r="I146">
        <v>4.5</v>
      </c>
      <c r="J146">
        <v>0</v>
      </c>
      <c r="K146">
        <v>7.2</v>
      </c>
      <c r="L146">
        <v>5</v>
      </c>
      <c r="M146">
        <v>44</v>
      </c>
      <c r="N146">
        <v>0</v>
      </c>
      <c r="O146">
        <v>0</v>
      </c>
      <c r="P146">
        <v>0</v>
      </c>
      <c r="Q146">
        <v>0.4</v>
      </c>
      <c r="R146">
        <v>6.2</v>
      </c>
      <c r="S146">
        <v>11.2</v>
      </c>
      <c r="T146">
        <f t="shared" si="7"/>
        <v>-83.8</v>
      </c>
    </row>
    <row r="147" spans="1:20" x14ac:dyDescent="0.25">
      <c r="A147">
        <f t="shared" si="6"/>
        <v>146</v>
      </c>
      <c r="B147">
        <v>17053</v>
      </c>
      <c r="C147" t="s">
        <v>472</v>
      </c>
      <c r="D147" t="s">
        <v>139</v>
      </c>
      <c r="E147" t="s">
        <v>417</v>
      </c>
      <c r="F147">
        <v>16</v>
      </c>
      <c r="G147">
        <v>15</v>
      </c>
      <c r="H147">
        <v>57</v>
      </c>
      <c r="I147">
        <v>3.8</v>
      </c>
      <c r="J147">
        <v>0</v>
      </c>
      <c r="K147">
        <v>4.3</v>
      </c>
      <c r="L147">
        <v>3</v>
      </c>
      <c r="M147">
        <v>21</v>
      </c>
      <c r="N147">
        <v>0</v>
      </c>
      <c r="O147">
        <v>0</v>
      </c>
      <c r="P147">
        <v>0</v>
      </c>
      <c r="Q147">
        <v>0.5</v>
      </c>
      <c r="R147">
        <v>7.8</v>
      </c>
      <c r="S147">
        <v>10.799999999999999</v>
      </c>
      <c r="T147">
        <f t="shared" si="7"/>
        <v>-84.2</v>
      </c>
    </row>
    <row r="148" spans="1:20" x14ac:dyDescent="0.25">
      <c r="A148">
        <f t="shared" si="6"/>
        <v>147.5</v>
      </c>
      <c r="B148">
        <v>17199</v>
      </c>
      <c r="C148" t="s">
        <v>448</v>
      </c>
      <c r="D148" t="s">
        <v>139</v>
      </c>
      <c r="E148" t="s">
        <v>400</v>
      </c>
      <c r="F148">
        <v>16</v>
      </c>
      <c r="G148">
        <v>9</v>
      </c>
      <c r="H148">
        <v>46</v>
      </c>
      <c r="I148">
        <v>5.0999999999999996</v>
      </c>
      <c r="J148">
        <v>0</v>
      </c>
      <c r="K148">
        <v>5.9</v>
      </c>
      <c r="L148">
        <v>4</v>
      </c>
      <c r="M148">
        <v>20</v>
      </c>
      <c r="N148">
        <v>0</v>
      </c>
      <c r="O148">
        <v>0</v>
      </c>
      <c r="P148">
        <v>0</v>
      </c>
      <c r="Q148">
        <v>0.4</v>
      </c>
      <c r="R148">
        <v>6.6</v>
      </c>
      <c r="S148">
        <v>10.6</v>
      </c>
      <c r="T148">
        <f t="shared" si="7"/>
        <v>-84.4</v>
      </c>
    </row>
    <row r="149" spans="1:20" x14ac:dyDescent="0.25">
      <c r="A149">
        <f t="shared" si="6"/>
        <v>147.5</v>
      </c>
      <c r="B149">
        <v>16210</v>
      </c>
      <c r="C149" t="s">
        <v>449</v>
      </c>
      <c r="D149" t="s">
        <v>182</v>
      </c>
      <c r="E149" t="s">
        <v>400</v>
      </c>
      <c r="F149">
        <v>16</v>
      </c>
      <c r="G149">
        <v>9</v>
      </c>
      <c r="H149">
        <v>37</v>
      </c>
      <c r="I149">
        <v>4.0999999999999996</v>
      </c>
      <c r="J149">
        <v>0</v>
      </c>
      <c r="K149">
        <v>5.4</v>
      </c>
      <c r="L149">
        <v>4</v>
      </c>
      <c r="M149">
        <v>29</v>
      </c>
      <c r="N149">
        <v>0</v>
      </c>
      <c r="O149">
        <v>0</v>
      </c>
      <c r="P149">
        <v>0</v>
      </c>
      <c r="Q149">
        <v>0.4</v>
      </c>
      <c r="R149">
        <v>6.6</v>
      </c>
      <c r="S149">
        <v>10.6</v>
      </c>
      <c r="T149">
        <f t="shared" si="7"/>
        <v>-84.4</v>
      </c>
    </row>
    <row r="150" spans="1:20" x14ac:dyDescent="0.25">
      <c r="A150">
        <f t="shared" si="6"/>
        <v>149</v>
      </c>
      <c r="B150">
        <v>17253</v>
      </c>
      <c r="C150" t="s">
        <v>184</v>
      </c>
      <c r="D150" t="s">
        <v>139</v>
      </c>
      <c r="E150" t="s">
        <v>162</v>
      </c>
      <c r="F150">
        <v>16</v>
      </c>
      <c r="G150">
        <v>27</v>
      </c>
      <c r="H150">
        <v>73</v>
      </c>
      <c r="I150">
        <v>2.7</v>
      </c>
      <c r="J150">
        <v>0</v>
      </c>
      <c r="K150">
        <v>5.3</v>
      </c>
      <c r="L150">
        <v>4</v>
      </c>
      <c r="M150">
        <v>30</v>
      </c>
      <c r="N150">
        <v>0</v>
      </c>
      <c r="O150">
        <v>2</v>
      </c>
      <c r="P150">
        <v>2</v>
      </c>
      <c r="Q150">
        <v>0.4</v>
      </c>
      <c r="R150">
        <v>6.3</v>
      </c>
      <c r="S150">
        <v>10.3</v>
      </c>
      <c r="T150">
        <f t="shared" si="7"/>
        <v>-84.7</v>
      </c>
    </row>
    <row r="151" spans="1:20" x14ac:dyDescent="0.25">
      <c r="A151">
        <f t="shared" si="6"/>
        <v>150</v>
      </c>
      <c r="B151">
        <v>13418</v>
      </c>
      <c r="C151" t="s">
        <v>467</v>
      </c>
      <c r="D151" t="s">
        <v>182</v>
      </c>
      <c r="E151" t="s">
        <v>411</v>
      </c>
      <c r="F151">
        <v>16</v>
      </c>
      <c r="G151">
        <v>3</v>
      </c>
      <c r="H151">
        <v>11</v>
      </c>
      <c r="I151">
        <v>3.7</v>
      </c>
      <c r="J151">
        <v>0</v>
      </c>
      <c r="K151">
        <v>7.1</v>
      </c>
      <c r="L151">
        <v>5</v>
      </c>
      <c r="M151">
        <v>41</v>
      </c>
      <c r="N151">
        <v>0</v>
      </c>
      <c r="O151">
        <v>0</v>
      </c>
      <c r="P151">
        <v>0</v>
      </c>
      <c r="Q151">
        <v>0.3</v>
      </c>
      <c r="R151">
        <v>5.2</v>
      </c>
      <c r="S151">
        <v>10.199999999999999</v>
      </c>
      <c r="T151">
        <f t="shared" si="7"/>
        <v>-84.8</v>
      </c>
    </row>
    <row r="152" spans="1:20" x14ac:dyDescent="0.25">
      <c r="A152">
        <f t="shared" si="6"/>
        <v>151</v>
      </c>
      <c r="B152">
        <v>14783</v>
      </c>
      <c r="C152" t="s">
        <v>490</v>
      </c>
      <c r="D152" t="s">
        <v>139</v>
      </c>
      <c r="E152" t="s">
        <v>430</v>
      </c>
      <c r="F152">
        <v>16</v>
      </c>
      <c r="G152">
        <v>8</v>
      </c>
      <c r="H152">
        <v>26</v>
      </c>
      <c r="I152">
        <v>3.2</v>
      </c>
      <c r="J152">
        <v>0</v>
      </c>
      <c r="K152">
        <v>5.8</v>
      </c>
      <c r="L152">
        <v>4</v>
      </c>
      <c r="M152">
        <v>32</v>
      </c>
      <c r="N152">
        <v>0</v>
      </c>
      <c r="O152">
        <v>0</v>
      </c>
      <c r="P152">
        <v>0</v>
      </c>
      <c r="Q152">
        <v>0.4</v>
      </c>
      <c r="R152">
        <v>5.8</v>
      </c>
      <c r="S152">
        <v>9.8000000000000007</v>
      </c>
      <c r="T152">
        <f t="shared" si="7"/>
        <v>-85.2</v>
      </c>
    </row>
    <row r="153" spans="1:20" x14ac:dyDescent="0.25">
      <c r="A153">
        <f t="shared" si="6"/>
        <v>152</v>
      </c>
      <c r="B153">
        <v>18227</v>
      </c>
      <c r="C153" t="s">
        <v>484</v>
      </c>
      <c r="D153" t="s">
        <v>139</v>
      </c>
      <c r="E153" t="s">
        <v>426</v>
      </c>
      <c r="F153">
        <v>16</v>
      </c>
      <c r="G153">
        <v>9</v>
      </c>
      <c r="H153">
        <v>19</v>
      </c>
      <c r="I153">
        <v>2.1</v>
      </c>
      <c r="J153">
        <v>0</v>
      </c>
      <c r="K153">
        <v>7.5</v>
      </c>
      <c r="L153">
        <v>5</v>
      </c>
      <c r="M153">
        <v>28</v>
      </c>
      <c r="N153">
        <v>0</v>
      </c>
      <c r="O153">
        <v>0</v>
      </c>
      <c r="P153">
        <v>0</v>
      </c>
      <c r="Q153">
        <v>0.3</v>
      </c>
      <c r="R153">
        <v>4.7</v>
      </c>
      <c r="S153">
        <v>9.6999999999999993</v>
      </c>
      <c r="T153">
        <f t="shared" si="7"/>
        <v>-85.3</v>
      </c>
    </row>
    <row r="154" spans="1:20" x14ac:dyDescent="0.25">
      <c r="A154">
        <f t="shared" si="6"/>
        <v>153.5</v>
      </c>
      <c r="B154">
        <v>18153</v>
      </c>
      <c r="C154" t="s">
        <v>655</v>
      </c>
      <c r="D154" t="s">
        <v>139</v>
      </c>
      <c r="E154" t="s">
        <v>631</v>
      </c>
      <c r="F154">
        <v>16</v>
      </c>
      <c r="G154">
        <v>12</v>
      </c>
      <c r="H154">
        <v>45</v>
      </c>
      <c r="I154">
        <v>3.8</v>
      </c>
      <c r="J154">
        <v>0</v>
      </c>
      <c r="K154">
        <v>4.0999999999999996</v>
      </c>
      <c r="L154">
        <v>3</v>
      </c>
      <c r="M154">
        <v>18</v>
      </c>
      <c r="N154">
        <v>0</v>
      </c>
      <c r="O154">
        <v>0</v>
      </c>
      <c r="P154">
        <v>0</v>
      </c>
      <c r="Q154">
        <v>0.4</v>
      </c>
      <c r="R154">
        <v>6.3</v>
      </c>
      <c r="S154">
        <v>9.3000000000000007</v>
      </c>
      <c r="T154">
        <f t="shared" si="7"/>
        <v>-85.7</v>
      </c>
    </row>
    <row r="155" spans="1:20" x14ac:dyDescent="0.25">
      <c r="A155">
        <f t="shared" si="6"/>
        <v>153.5</v>
      </c>
      <c r="B155">
        <v>16120</v>
      </c>
      <c r="C155" t="s">
        <v>666</v>
      </c>
      <c r="D155" t="s">
        <v>139</v>
      </c>
      <c r="E155" t="s">
        <v>635</v>
      </c>
      <c r="F155">
        <v>16</v>
      </c>
      <c r="G155">
        <v>2.2999999999999998</v>
      </c>
      <c r="H155">
        <v>9</v>
      </c>
      <c r="I155">
        <v>4.5</v>
      </c>
      <c r="J155">
        <v>0</v>
      </c>
      <c r="K155">
        <v>0</v>
      </c>
      <c r="L155">
        <v>0</v>
      </c>
      <c r="M155">
        <v>84</v>
      </c>
      <c r="N155">
        <v>0</v>
      </c>
      <c r="O155">
        <v>0</v>
      </c>
      <c r="P155">
        <v>0</v>
      </c>
      <c r="Q155">
        <v>0.6</v>
      </c>
      <c r="R155">
        <v>9.3000000000000007</v>
      </c>
      <c r="S155">
        <v>9.3000000000000007</v>
      </c>
      <c r="T155">
        <f t="shared" si="7"/>
        <v>-85.7</v>
      </c>
    </row>
    <row r="156" spans="1:20" x14ac:dyDescent="0.25">
      <c r="A156">
        <f t="shared" si="6"/>
        <v>155</v>
      </c>
      <c r="B156">
        <v>11737</v>
      </c>
      <c r="C156" t="s">
        <v>304</v>
      </c>
      <c r="D156" t="s">
        <v>139</v>
      </c>
      <c r="E156" t="s">
        <v>279</v>
      </c>
      <c r="F156">
        <v>16</v>
      </c>
      <c r="G156">
        <v>11</v>
      </c>
      <c r="H156">
        <v>42</v>
      </c>
      <c r="I156">
        <v>3.8</v>
      </c>
      <c r="J156">
        <v>0</v>
      </c>
      <c r="K156">
        <v>4.0999999999999996</v>
      </c>
      <c r="L156">
        <v>3</v>
      </c>
      <c r="M156">
        <v>19</v>
      </c>
      <c r="N156">
        <v>0</v>
      </c>
      <c r="O156">
        <v>0</v>
      </c>
      <c r="P156">
        <v>0</v>
      </c>
      <c r="Q156">
        <v>0.4</v>
      </c>
      <c r="R156">
        <v>6.1</v>
      </c>
      <c r="S156">
        <v>9.1</v>
      </c>
      <c r="T156">
        <f t="shared" si="7"/>
        <v>-85.9</v>
      </c>
    </row>
    <row r="157" spans="1:20" x14ac:dyDescent="0.25">
      <c r="A157">
        <f t="shared" si="6"/>
        <v>156</v>
      </c>
      <c r="B157">
        <v>733</v>
      </c>
      <c r="C157" t="s">
        <v>198</v>
      </c>
      <c r="D157" t="s">
        <v>182</v>
      </c>
      <c r="E157" t="s">
        <v>172</v>
      </c>
      <c r="F157">
        <v>16</v>
      </c>
      <c r="G157">
        <v>7</v>
      </c>
      <c r="H157">
        <v>29</v>
      </c>
      <c r="I157">
        <v>4.0999999999999996</v>
      </c>
      <c r="J157">
        <v>0</v>
      </c>
      <c r="K157">
        <v>4.3</v>
      </c>
      <c r="L157">
        <v>3</v>
      </c>
      <c r="M157">
        <v>30</v>
      </c>
      <c r="N157">
        <v>0</v>
      </c>
      <c r="O157">
        <v>0</v>
      </c>
      <c r="P157">
        <v>0</v>
      </c>
      <c r="Q157">
        <v>0.4</v>
      </c>
      <c r="R157">
        <v>5.9</v>
      </c>
      <c r="S157">
        <v>8.9</v>
      </c>
      <c r="T157">
        <f t="shared" si="7"/>
        <v>-86.1</v>
      </c>
    </row>
    <row r="158" spans="1:20" x14ac:dyDescent="0.25">
      <c r="A158">
        <f t="shared" si="6"/>
        <v>157</v>
      </c>
      <c r="B158">
        <v>12762</v>
      </c>
      <c r="C158" t="s">
        <v>479</v>
      </c>
      <c r="D158" t="s">
        <v>139</v>
      </c>
      <c r="E158" t="s">
        <v>421</v>
      </c>
      <c r="F158">
        <v>16</v>
      </c>
      <c r="G158">
        <v>8</v>
      </c>
      <c r="H158">
        <v>29</v>
      </c>
      <c r="I158">
        <v>3.6</v>
      </c>
      <c r="J158">
        <v>0</v>
      </c>
      <c r="K158">
        <v>4.4000000000000004</v>
      </c>
      <c r="L158">
        <v>3</v>
      </c>
      <c r="M158">
        <v>28</v>
      </c>
      <c r="N158">
        <v>0</v>
      </c>
      <c r="O158">
        <v>0</v>
      </c>
      <c r="P158">
        <v>0</v>
      </c>
      <c r="Q158">
        <v>0.4</v>
      </c>
      <c r="R158">
        <v>5.7</v>
      </c>
      <c r="S158">
        <v>8.6999999999999993</v>
      </c>
      <c r="T158">
        <f t="shared" si="7"/>
        <v>-86.3</v>
      </c>
    </row>
    <row r="159" spans="1:20" x14ac:dyDescent="0.25">
      <c r="A159">
        <f t="shared" si="6"/>
        <v>158</v>
      </c>
      <c r="B159">
        <v>15596</v>
      </c>
      <c r="C159" t="s">
        <v>473</v>
      </c>
      <c r="D159" t="s">
        <v>139</v>
      </c>
      <c r="E159" t="s">
        <v>417</v>
      </c>
      <c r="F159">
        <v>16</v>
      </c>
      <c r="G159">
        <v>7</v>
      </c>
      <c r="H159">
        <v>26</v>
      </c>
      <c r="I159">
        <v>3.7</v>
      </c>
      <c r="J159">
        <v>0</v>
      </c>
      <c r="K159">
        <v>4.2</v>
      </c>
      <c r="L159">
        <v>3</v>
      </c>
      <c r="M159">
        <v>28</v>
      </c>
      <c r="N159">
        <v>0</v>
      </c>
      <c r="O159">
        <v>0</v>
      </c>
      <c r="P159">
        <v>0</v>
      </c>
      <c r="Q159">
        <v>0.3</v>
      </c>
      <c r="R159">
        <v>5.4</v>
      </c>
      <c r="S159">
        <v>8.3999999999999986</v>
      </c>
      <c r="T159">
        <f t="shared" si="7"/>
        <v>-86.6</v>
      </c>
    </row>
    <row r="160" spans="1:20" x14ac:dyDescent="0.25">
      <c r="A160">
        <f t="shared" si="6"/>
        <v>159</v>
      </c>
      <c r="B160">
        <v>14696</v>
      </c>
      <c r="C160" t="s">
        <v>688</v>
      </c>
      <c r="D160" t="s">
        <v>139</v>
      </c>
      <c r="E160" t="s">
        <v>648</v>
      </c>
      <c r="F160">
        <v>16</v>
      </c>
      <c r="G160">
        <v>7</v>
      </c>
      <c r="H160">
        <v>24</v>
      </c>
      <c r="I160">
        <v>3.4</v>
      </c>
      <c r="J160">
        <v>0</v>
      </c>
      <c r="K160">
        <v>4.0999999999999996</v>
      </c>
      <c r="L160">
        <v>3</v>
      </c>
      <c r="M160">
        <v>23</v>
      </c>
      <c r="N160">
        <v>0</v>
      </c>
      <c r="O160">
        <v>0</v>
      </c>
      <c r="P160">
        <v>0</v>
      </c>
      <c r="Q160">
        <v>0.3</v>
      </c>
      <c r="R160">
        <v>4.7</v>
      </c>
      <c r="S160">
        <v>7.7</v>
      </c>
      <c r="T160">
        <f t="shared" si="7"/>
        <v>-87.3</v>
      </c>
    </row>
    <row r="161" spans="1:20" x14ac:dyDescent="0.25">
      <c r="A161">
        <f t="shared" si="6"/>
        <v>160.5</v>
      </c>
      <c r="B161">
        <v>16740</v>
      </c>
      <c r="C161" t="s">
        <v>308</v>
      </c>
      <c r="D161" t="s">
        <v>139</v>
      </c>
      <c r="E161" t="s">
        <v>283</v>
      </c>
      <c r="F161">
        <v>16</v>
      </c>
      <c r="G161">
        <v>6</v>
      </c>
      <c r="H161">
        <v>20</v>
      </c>
      <c r="I161">
        <v>3.3</v>
      </c>
      <c r="J161">
        <v>0</v>
      </c>
      <c r="K161">
        <v>4</v>
      </c>
      <c r="L161">
        <v>3</v>
      </c>
      <c r="M161">
        <v>16</v>
      </c>
      <c r="N161">
        <v>0</v>
      </c>
      <c r="O161">
        <v>0</v>
      </c>
      <c r="P161">
        <v>0</v>
      </c>
      <c r="Q161">
        <v>0.2</v>
      </c>
      <c r="R161">
        <v>3.6</v>
      </c>
      <c r="S161">
        <v>6.6</v>
      </c>
      <c r="T161">
        <f t="shared" si="7"/>
        <v>-88.4</v>
      </c>
    </row>
    <row r="162" spans="1:20" x14ac:dyDescent="0.25">
      <c r="A162">
        <f t="shared" ref="A162:A190" si="8">_xlfn.RANK.AVG(S162,$S$2:$S$190,0)</f>
        <v>160.5</v>
      </c>
      <c r="B162">
        <v>1589</v>
      </c>
      <c r="C162" t="s">
        <v>656</v>
      </c>
      <c r="D162" t="s">
        <v>182</v>
      </c>
      <c r="E162" t="s">
        <v>631</v>
      </c>
      <c r="F162">
        <v>16</v>
      </c>
      <c r="G162">
        <v>5</v>
      </c>
      <c r="H162">
        <v>15</v>
      </c>
      <c r="I162">
        <v>3</v>
      </c>
      <c r="J162">
        <v>0</v>
      </c>
      <c r="K162">
        <v>4.4000000000000004</v>
      </c>
      <c r="L162">
        <v>3</v>
      </c>
      <c r="M162">
        <v>21</v>
      </c>
      <c r="N162">
        <v>0</v>
      </c>
      <c r="O162">
        <v>0</v>
      </c>
      <c r="P162">
        <v>0</v>
      </c>
      <c r="Q162">
        <v>0.2</v>
      </c>
      <c r="R162">
        <v>3.6</v>
      </c>
      <c r="S162">
        <v>6.6</v>
      </c>
      <c r="T162">
        <f t="shared" si="7"/>
        <v>-88.4</v>
      </c>
    </row>
    <row r="163" spans="1:20" x14ac:dyDescent="0.25">
      <c r="A163">
        <f t="shared" si="8"/>
        <v>162</v>
      </c>
      <c r="B163">
        <v>16255</v>
      </c>
      <c r="C163" t="s">
        <v>809</v>
      </c>
      <c r="D163" t="s">
        <v>139</v>
      </c>
      <c r="E163" t="s">
        <v>779</v>
      </c>
      <c r="F163">
        <v>16</v>
      </c>
      <c r="G163">
        <v>5</v>
      </c>
      <c r="H163">
        <v>20</v>
      </c>
      <c r="I163">
        <v>4</v>
      </c>
      <c r="J163">
        <v>0</v>
      </c>
      <c r="K163">
        <v>2.9</v>
      </c>
      <c r="L163">
        <v>2</v>
      </c>
      <c r="M163">
        <v>15</v>
      </c>
      <c r="N163">
        <v>0</v>
      </c>
      <c r="O163">
        <v>0</v>
      </c>
      <c r="P163">
        <v>0</v>
      </c>
      <c r="Q163">
        <v>0.2</v>
      </c>
      <c r="R163">
        <v>3.5</v>
      </c>
      <c r="S163">
        <v>5.5</v>
      </c>
      <c r="T163">
        <f t="shared" si="7"/>
        <v>-89.5</v>
      </c>
    </row>
    <row r="164" spans="1:20" x14ac:dyDescent="0.25">
      <c r="A164">
        <f t="shared" si="8"/>
        <v>163</v>
      </c>
      <c r="B164">
        <v>16955</v>
      </c>
      <c r="C164" t="s">
        <v>309</v>
      </c>
      <c r="D164" t="s">
        <v>182</v>
      </c>
      <c r="E164" t="s">
        <v>283</v>
      </c>
      <c r="F164">
        <v>16</v>
      </c>
      <c r="G164">
        <v>2.5</v>
      </c>
      <c r="H164">
        <v>10</v>
      </c>
      <c r="I164">
        <v>5</v>
      </c>
      <c r="J164">
        <v>0</v>
      </c>
      <c r="K164">
        <v>0</v>
      </c>
      <c r="L164">
        <v>0</v>
      </c>
      <c r="M164">
        <v>44</v>
      </c>
      <c r="N164">
        <v>0</v>
      </c>
      <c r="O164">
        <v>0</v>
      </c>
      <c r="P164">
        <v>0</v>
      </c>
      <c r="Q164">
        <v>0.3</v>
      </c>
      <c r="R164">
        <v>5.4</v>
      </c>
      <c r="S164">
        <v>5.4</v>
      </c>
      <c r="T164">
        <f t="shared" si="7"/>
        <v>-89.6</v>
      </c>
    </row>
    <row r="165" spans="1:20" x14ac:dyDescent="0.25">
      <c r="A165">
        <f t="shared" si="8"/>
        <v>164</v>
      </c>
      <c r="B165">
        <v>15191</v>
      </c>
      <c r="C165" t="s">
        <v>657</v>
      </c>
      <c r="D165" t="s">
        <v>182</v>
      </c>
      <c r="E165" t="s">
        <v>631</v>
      </c>
      <c r="F165">
        <v>16</v>
      </c>
      <c r="G165">
        <v>3.5</v>
      </c>
      <c r="H165">
        <v>14</v>
      </c>
      <c r="I165">
        <v>3.5</v>
      </c>
      <c r="J165">
        <v>0</v>
      </c>
      <c r="K165">
        <v>0</v>
      </c>
      <c r="L165">
        <v>0</v>
      </c>
      <c r="M165">
        <v>26</v>
      </c>
      <c r="N165">
        <v>0</v>
      </c>
      <c r="O165">
        <v>0</v>
      </c>
      <c r="P165">
        <v>0</v>
      </c>
      <c r="Q165">
        <v>0.2</v>
      </c>
      <c r="R165">
        <v>4</v>
      </c>
      <c r="S165">
        <v>4</v>
      </c>
      <c r="T165">
        <f t="shared" si="7"/>
        <v>-91</v>
      </c>
    </row>
    <row r="166" spans="1:20" x14ac:dyDescent="0.25">
      <c r="A166">
        <f t="shared" si="8"/>
        <v>165</v>
      </c>
      <c r="B166">
        <v>13902</v>
      </c>
      <c r="C166" t="s">
        <v>192</v>
      </c>
      <c r="D166" t="s">
        <v>139</v>
      </c>
      <c r="E166" t="s">
        <v>167</v>
      </c>
      <c r="F166">
        <v>16</v>
      </c>
      <c r="G166">
        <v>10</v>
      </c>
      <c r="H166">
        <v>33</v>
      </c>
      <c r="I166">
        <v>3.3</v>
      </c>
      <c r="J166">
        <v>0</v>
      </c>
      <c r="K166">
        <v>1</v>
      </c>
      <c r="L166">
        <v>1</v>
      </c>
      <c r="M166">
        <v>9</v>
      </c>
      <c r="N166">
        <v>0</v>
      </c>
      <c r="O166">
        <v>1</v>
      </c>
      <c r="P166">
        <v>1</v>
      </c>
      <c r="Q166">
        <v>0.1</v>
      </c>
      <c r="R166">
        <v>2.2000000000000002</v>
      </c>
      <c r="S166">
        <v>3.2</v>
      </c>
      <c r="T166">
        <f t="shared" si="7"/>
        <v>-91.8</v>
      </c>
    </row>
    <row r="167" spans="1:20" x14ac:dyDescent="0.25">
      <c r="A167">
        <f t="shared" si="8"/>
        <v>166</v>
      </c>
      <c r="B167">
        <v>17061</v>
      </c>
      <c r="C167" t="s">
        <v>206</v>
      </c>
      <c r="D167" t="s">
        <v>139</v>
      </c>
      <c r="E167" t="s">
        <v>176</v>
      </c>
      <c r="F167">
        <v>16</v>
      </c>
      <c r="G167">
        <v>6</v>
      </c>
      <c r="H167">
        <v>23</v>
      </c>
      <c r="I167">
        <v>3.8</v>
      </c>
      <c r="J167">
        <v>0</v>
      </c>
      <c r="K167">
        <v>0</v>
      </c>
      <c r="L167">
        <v>0</v>
      </c>
      <c r="M167">
        <v>0</v>
      </c>
      <c r="N167">
        <v>0</v>
      </c>
      <c r="O167">
        <v>0</v>
      </c>
      <c r="P167">
        <v>0</v>
      </c>
      <c r="Q167">
        <v>0.1</v>
      </c>
      <c r="R167">
        <v>2.2999999999999998</v>
      </c>
      <c r="S167">
        <v>2.2999999999999998</v>
      </c>
      <c r="T167">
        <f t="shared" si="7"/>
        <v>-92.7</v>
      </c>
    </row>
    <row r="168" spans="1:20" x14ac:dyDescent="0.25">
      <c r="A168">
        <f t="shared" si="8"/>
        <v>167</v>
      </c>
      <c r="B168">
        <v>15497</v>
      </c>
      <c r="C168" t="s">
        <v>439</v>
      </c>
      <c r="D168" t="s">
        <v>139</v>
      </c>
      <c r="E168" t="s">
        <v>393</v>
      </c>
      <c r="F168">
        <v>16</v>
      </c>
      <c r="G168">
        <v>5</v>
      </c>
      <c r="H168">
        <v>5</v>
      </c>
      <c r="I168">
        <v>1</v>
      </c>
      <c r="J168">
        <v>0</v>
      </c>
      <c r="K168">
        <v>1.5</v>
      </c>
      <c r="L168">
        <v>1</v>
      </c>
      <c r="M168">
        <v>15</v>
      </c>
      <c r="N168">
        <v>0</v>
      </c>
      <c r="O168">
        <v>1</v>
      </c>
      <c r="P168">
        <v>1</v>
      </c>
      <c r="Q168">
        <v>0</v>
      </c>
      <c r="R168">
        <v>0</v>
      </c>
      <c r="S168">
        <v>1</v>
      </c>
      <c r="T168">
        <f t="shared" si="7"/>
        <v>-94</v>
      </c>
    </row>
    <row r="169" spans="1:20" x14ac:dyDescent="0.25">
      <c r="A169">
        <f t="shared" si="8"/>
        <v>168</v>
      </c>
      <c r="B169">
        <v>17030</v>
      </c>
      <c r="C169" t="s">
        <v>455</v>
      </c>
      <c r="D169" t="s">
        <v>139</v>
      </c>
      <c r="E169" t="s">
        <v>404</v>
      </c>
      <c r="F169">
        <v>16</v>
      </c>
      <c r="G169">
        <v>2</v>
      </c>
      <c r="H169">
        <v>7</v>
      </c>
      <c r="I169">
        <v>3.5</v>
      </c>
      <c r="J169">
        <v>0</v>
      </c>
      <c r="K169">
        <v>0</v>
      </c>
      <c r="L169">
        <v>0</v>
      </c>
      <c r="M169">
        <v>0</v>
      </c>
      <c r="N169">
        <v>0</v>
      </c>
      <c r="O169">
        <v>0</v>
      </c>
      <c r="P169">
        <v>0</v>
      </c>
      <c r="Q169">
        <v>0</v>
      </c>
      <c r="R169">
        <v>0.7</v>
      </c>
      <c r="S169">
        <v>0.7</v>
      </c>
      <c r="T169">
        <f t="shared" si="7"/>
        <v>-94.3</v>
      </c>
    </row>
    <row r="170" spans="1:20" x14ac:dyDescent="0.25">
      <c r="A170">
        <f t="shared" si="8"/>
        <v>169</v>
      </c>
      <c r="B170">
        <v>16309</v>
      </c>
      <c r="C170" t="s">
        <v>680</v>
      </c>
      <c r="D170" t="s">
        <v>139</v>
      </c>
      <c r="E170" t="s">
        <v>644</v>
      </c>
      <c r="F170">
        <v>16</v>
      </c>
      <c r="G170">
        <v>7</v>
      </c>
      <c r="H170">
        <v>6</v>
      </c>
      <c r="I170">
        <v>0.9</v>
      </c>
      <c r="J170">
        <v>0</v>
      </c>
      <c r="K170">
        <v>0</v>
      </c>
      <c r="L170">
        <v>0</v>
      </c>
      <c r="M170">
        <v>0</v>
      </c>
      <c r="N170">
        <v>0</v>
      </c>
      <c r="O170">
        <v>0</v>
      </c>
      <c r="P170">
        <v>0</v>
      </c>
      <c r="Q170">
        <v>0</v>
      </c>
      <c r="R170">
        <v>0.6</v>
      </c>
      <c r="S170">
        <v>0.6</v>
      </c>
      <c r="T170">
        <f t="shared" si="7"/>
        <v>-94.4</v>
      </c>
    </row>
    <row r="171" spans="1:20" x14ac:dyDescent="0.25">
      <c r="A171">
        <f t="shared" si="8"/>
        <v>170</v>
      </c>
      <c r="B171">
        <v>16989</v>
      </c>
      <c r="C171" t="s">
        <v>658</v>
      </c>
      <c r="D171" t="s">
        <v>139</v>
      </c>
      <c r="E171" t="s">
        <v>631</v>
      </c>
      <c r="F171">
        <v>16</v>
      </c>
      <c r="G171">
        <v>1</v>
      </c>
      <c r="H171">
        <v>3</v>
      </c>
      <c r="I171">
        <v>3</v>
      </c>
      <c r="J171">
        <v>0</v>
      </c>
      <c r="K171">
        <v>0</v>
      </c>
      <c r="L171">
        <v>0</v>
      </c>
      <c r="M171">
        <v>1</v>
      </c>
      <c r="N171">
        <v>0</v>
      </c>
      <c r="O171">
        <v>0</v>
      </c>
      <c r="P171">
        <v>0</v>
      </c>
      <c r="Q171">
        <v>0</v>
      </c>
      <c r="R171">
        <v>0.4</v>
      </c>
      <c r="S171">
        <v>0.4</v>
      </c>
      <c r="T171">
        <f t="shared" si="7"/>
        <v>-94.6</v>
      </c>
    </row>
    <row r="172" spans="1:20" x14ac:dyDescent="0.25">
      <c r="A172">
        <f t="shared" si="8"/>
        <v>171</v>
      </c>
      <c r="B172">
        <v>18132</v>
      </c>
      <c r="C172" t="s">
        <v>317</v>
      </c>
      <c r="D172" t="s">
        <v>139</v>
      </c>
      <c r="E172" t="s">
        <v>288</v>
      </c>
      <c r="F172">
        <v>16</v>
      </c>
      <c r="G172">
        <v>4</v>
      </c>
      <c r="H172">
        <v>22</v>
      </c>
      <c r="I172">
        <v>5.5</v>
      </c>
      <c r="J172">
        <v>0</v>
      </c>
      <c r="K172">
        <v>0</v>
      </c>
      <c r="L172">
        <v>0</v>
      </c>
      <c r="M172">
        <v>0</v>
      </c>
      <c r="N172">
        <v>0</v>
      </c>
      <c r="O172">
        <v>1</v>
      </c>
      <c r="P172">
        <v>1</v>
      </c>
      <c r="Q172">
        <v>0</v>
      </c>
      <c r="R172">
        <v>0.2</v>
      </c>
      <c r="S172">
        <v>0.20000000000000018</v>
      </c>
      <c r="T172">
        <f t="shared" si="7"/>
        <v>-94.8</v>
      </c>
    </row>
    <row r="173" spans="1:20" x14ac:dyDescent="0.25">
      <c r="A173">
        <f t="shared" si="8"/>
        <v>172</v>
      </c>
      <c r="B173">
        <v>16485</v>
      </c>
      <c r="C173" t="s">
        <v>310</v>
      </c>
      <c r="D173" t="s">
        <v>139</v>
      </c>
      <c r="E173" t="s">
        <v>283</v>
      </c>
      <c r="F173">
        <v>16</v>
      </c>
      <c r="G173">
        <v>1</v>
      </c>
      <c r="H173">
        <v>2</v>
      </c>
      <c r="I173">
        <v>2</v>
      </c>
      <c r="J173">
        <v>0</v>
      </c>
      <c r="K173">
        <v>0</v>
      </c>
      <c r="L173">
        <v>0</v>
      </c>
      <c r="M173">
        <v>0</v>
      </c>
      <c r="N173">
        <v>0</v>
      </c>
      <c r="O173">
        <v>0</v>
      </c>
      <c r="P173">
        <v>0</v>
      </c>
      <c r="Q173">
        <v>0</v>
      </c>
      <c r="R173">
        <v>0.2</v>
      </c>
      <c r="S173">
        <v>0.2</v>
      </c>
      <c r="T173">
        <f t="shared" si="7"/>
        <v>-94.8</v>
      </c>
    </row>
    <row r="174" spans="1:20" x14ac:dyDescent="0.25">
      <c r="A174">
        <f t="shared" si="8"/>
        <v>173.5</v>
      </c>
      <c r="B174">
        <v>16994</v>
      </c>
      <c r="C174" t="s">
        <v>450</v>
      </c>
      <c r="D174" t="s">
        <v>139</v>
      </c>
      <c r="E174" t="s">
        <v>400</v>
      </c>
      <c r="F174">
        <v>16</v>
      </c>
      <c r="G174">
        <v>1</v>
      </c>
      <c r="H174">
        <v>1</v>
      </c>
      <c r="I174">
        <v>1</v>
      </c>
      <c r="J174">
        <v>0</v>
      </c>
      <c r="K174">
        <v>0</v>
      </c>
      <c r="L174">
        <v>0</v>
      </c>
      <c r="M174">
        <v>0</v>
      </c>
      <c r="N174">
        <v>0</v>
      </c>
      <c r="O174">
        <v>0</v>
      </c>
      <c r="P174">
        <v>0</v>
      </c>
      <c r="Q174">
        <v>0</v>
      </c>
      <c r="R174">
        <v>0.1</v>
      </c>
      <c r="S174">
        <v>0.1</v>
      </c>
      <c r="T174">
        <f t="shared" si="7"/>
        <v>-94.9</v>
      </c>
    </row>
    <row r="175" spans="1:20" x14ac:dyDescent="0.25">
      <c r="A175">
        <f t="shared" si="8"/>
        <v>173.5</v>
      </c>
      <c r="B175">
        <v>17101</v>
      </c>
      <c r="C175" t="s">
        <v>456</v>
      </c>
      <c r="D175" t="s">
        <v>139</v>
      </c>
      <c r="E175" t="s">
        <v>404</v>
      </c>
      <c r="F175">
        <v>16</v>
      </c>
      <c r="G175">
        <v>0.3</v>
      </c>
      <c r="H175">
        <v>1</v>
      </c>
      <c r="I175">
        <v>0</v>
      </c>
      <c r="J175">
        <v>0</v>
      </c>
      <c r="K175">
        <v>0</v>
      </c>
      <c r="L175">
        <v>0</v>
      </c>
      <c r="M175">
        <v>0</v>
      </c>
      <c r="N175">
        <v>0</v>
      </c>
      <c r="O175">
        <v>0</v>
      </c>
      <c r="P175">
        <v>0</v>
      </c>
      <c r="Q175">
        <v>0</v>
      </c>
      <c r="R175">
        <v>0.1</v>
      </c>
      <c r="S175">
        <v>0.1</v>
      </c>
      <c r="T175">
        <f t="shared" si="7"/>
        <v>-94.9</v>
      </c>
    </row>
    <row r="176" spans="1:20" x14ac:dyDescent="0.25">
      <c r="A176">
        <f t="shared" si="8"/>
        <v>181.5</v>
      </c>
      <c r="B176">
        <v>14070</v>
      </c>
      <c r="C176" t="s">
        <v>185</v>
      </c>
      <c r="D176" t="s">
        <v>139</v>
      </c>
      <c r="E176" t="s">
        <v>162</v>
      </c>
      <c r="F176">
        <v>16</v>
      </c>
      <c r="G176">
        <v>0</v>
      </c>
      <c r="H176">
        <v>0</v>
      </c>
      <c r="I176">
        <v>0</v>
      </c>
      <c r="J176">
        <v>0</v>
      </c>
      <c r="K176">
        <v>0</v>
      </c>
      <c r="L176">
        <v>0</v>
      </c>
      <c r="M176">
        <v>0</v>
      </c>
      <c r="N176">
        <v>0</v>
      </c>
      <c r="O176">
        <v>0</v>
      </c>
      <c r="P176">
        <v>0</v>
      </c>
      <c r="Q176">
        <v>0</v>
      </c>
      <c r="R176">
        <v>0</v>
      </c>
      <c r="S176">
        <v>0</v>
      </c>
      <c r="T176">
        <f t="shared" si="7"/>
        <v>-95</v>
      </c>
    </row>
    <row r="177" spans="1:20" x14ac:dyDescent="0.25">
      <c r="A177">
        <f t="shared" si="8"/>
        <v>181.5</v>
      </c>
      <c r="B177">
        <v>16144</v>
      </c>
      <c r="C177" t="s">
        <v>199</v>
      </c>
      <c r="D177" t="s">
        <v>139</v>
      </c>
      <c r="E177" t="s">
        <v>172</v>
      </c>
      <c r="F177">
        <v>16</v>
      </c>
      <c r="G177">
        <v>0</v>
      </c>
      <c r="H177">
        <v>0</v>
      </c>
      <c r="I177">
        <v>0</v>
      </c>
      <c r="J177">
        <v>0</v>
      </c>
      <c r="K177">
        <v>0</v>
      </c>
      <c r="L177">
        <v>0</v>
      </c>
      <c r="M177">
        <v>0</v>
      </c>
      <c r="N177">
        <v>0</v>
      </c>
      <c r="O177">
        <v>0</v>
      </c>
      <c r="P177">
        <v>0</v>
      </c>
      <c r="Q177">
        <v>0</v>
      </c>
      <c r="R177">
        <v>0</v>
      </c>
      <c r="S177">
        <v>0</v>
      </c>
      <c r="T177">
        <f t="shared" si="7"/>
        <v>-95</v>
      </c>
    </row>
    <row r="178" spans="1:20" x14ac:dyDescent="0.25">
      <c r="A178">
        <f t="shared" si="8"/>
        <v>181.5</v>
      </c>
      <c r="B178">
        <v>14788</v>
      </c>
      <c r="C178" t="s">
        <v>200</v>
      </c>
      <c r="D178" t="s">
        <v>139</v>
      </c>
      <c r="E178" t="s">
        <v>172</v>
      </c>
      <c r="F178">
        <v>16</v>
      </c>
      <c r="G178">
        <v>0</v>
      </c>
      <c r="H178">
        <v>0</v>
      </c>
      <c r="I178">
        <v>0</v>
      </c>
      <c r="J178">
        <v>0</v>
      </c>
      <c r="K178">
        <v>0</v>
      </c>
      <c r="L178">
        <v>0</v>
      </c>
      <c r="M178">
        <v>0</v>
      </c>
      <c r="N178">
        <v>0</v>
      </c>
      <c r="O178">
        <v>0</v>
      </c>
      <c r="P178">
        <v>0</v>
      </c>
      <c r="Q178">
        <v>0</v>
      </c>
      <c r="R178">
        <v>0</v>
      </c>
      <c r="S178">
        <v>0</v>
      </c>
      <c r="T178">
        <f t="shared" si="7"/>
        <v>-95</v>
      </c>
    </row>
    <row r="179" spans="1:20" x14ac:dyDescent="0.25">
      <c r="A179">
        <f t="shared" si="8"/>
        <v>181.5</v>
      </c>
      <c r="B179">
        <v>16441</v>
      </c>
      <c r="C179" t="s">
        <v>299</v>
      </c>
      <c r="D179" t="s">
        <v>139</v>
      </c>
      <c r="E179" t="s">
        <v>273</v>
      </c>
      <c r="F179">
        <v>16</v>
      </c>
      <c r="G179">
        <v>0</v>
      </c>
      <c r="H179">
        <v>0</v>
      </c>
      <c r="I179">
        <v>0</v>
      </c>
      <c r="J179">
        <v>0</v>
      </c>
      <c r="K179">
        <v>0</v>
      </c>
      <c r="L179">
        <v>0</v>
      </c>
      <c r="M179">
        <v>0</v>
      </c>
      <c r="N179">
        <v>0</v>
      </c>
      <c r="O179">
        <v>0</v>
      </c>
      <c r="P179">
        <v>0</v>
      </c>
      <c r="Q179">
        <v>0</v>
      </c>
      <c r="R179">
        <v>0</v>
      </c>
      <c r="S179">
        <v>0</v>
      </c>
      <c r="T179">
        <f t="shared" si="7"/>
        <v>-95</v>
      </c>
    </row>
    <row r="180" spans="1:20" x14ac:dyDescent="0.25">
      <c r="A180">
        <f t="shared" si="8"/>
        <v>181.5</v>
      </c>
      <c r="B180">
        <v>11969</v>
      </c>
      <c r="C180" t="s">
        <v>300</v>
      </c>
      <c r="D180" t="s">
        <v>182</v>
      </c>
      <c r="E180" t="s">
        <v>273</v>
      </c>
      <c r="F180">
        <v>16</v>
      </c>
      <c r="G180">
        <v>0</v>
      </c>
      <c r="H180">
        <v>0</v>
      </c>
      <c r="I180">
        <v>0</v>
      </c>
      <c r="J180">
        <v>0</v>
      </c>
      <c r="K180">
        <v>0</v>
      </c>
      <c r="L180">
        <v>0</v>
      </c>
      <c r="M180">
        <v>0</v>
      </c>
      <c r="N180">
        <v>0</v>
      </c>
      <c r="O180">
        <v>0</v>
      </c>
      <c r="P180">
        <v>0</v>
      </c>
      <c r="Q180">
        <v>0</v>
      </c>
      <c r="R180">
        <v>0</v>
      </c>
      <c r="S180">
        <v>0</v>
      </c>
      <c r="T180">
        <f t="shared" si="7"/>
        <v>-95</v>
      </c>
    </row>
    <row r="181" spans="1:20" x14ac:dyDescent="0.25">
      <c r="A181">
        <f t="shared" si="8"/>
        <v>181.5</v>
      </c>
      <c r="B181">
        <v>17066</v>
      </c>
      <c r="C181" t="s">
        <v>311</v>
      </c>
      <c r="D181" t="s">
        <v>139</v>
      </c>
      <c r="E181" t="s">
        <v>283</v>
      </c>
      <c r="F181">
        <v>16</v>
      </c>
      <c r="G181">
        <v>0</v>
      </c>
      <c r="H181">
        <v>0</v>
      </c>
      <c r="I181">
        <v>0</v>
      </c>
      <c r="J181">
        <v>0</v>
      </c>
      <c r="K181">
        <v>0</v>
      </c>
      <c r="L181">
        <v>0</v>
      </c>
      <c r="M181">
        <v>0</v>
      </c>
      <c r="N181">
        <v>0</v>
      </c>
      <c r="O181">
        <v>0</v>
      </c>
      <c r="P181">
        <v>0</v>
      </c>
      <c r="Q181">
        <v>0</v>
      </c>
      <c r="R181">
        <v>0</v>
      </c>
      <c r="S181">
        <v>0</v>
      </c>
      <c r="T181">
        <f t="shared" si="7"/>
        <v>-95</v>
      </c>
    </row>
    <row r="182" spans="1:20" x14ac:dyDescent="0.25">
      <c r="A182">
        <f t="shared" si="8"/>
        <v>181.5</v>
      </c>
      <c r="B182">
        <v>16273</v>
      </c>
      <c r="C182" t="s">
        <v>322</v>
      </c>
      <c r="D182" t="s">
        <v>139</v>
      </c>
      <c r="E182" t="s">
        <v>292</v>
      </c>
      <c r="F182">
        <v>16</v>
      </c>
      <c r="G182">
        <v>0</v>
      </c>
      <c r="H182">
        <v>0</v>
      </c>
      <c r="I182">
        <v>0</v>
      </c>
      <c r="J182">
        <v>0</v>
      </c>
      <c r="K182">
        <v>0</v>
      </c>
      <c r="L182">
        <v>0</v>
      </c>
      <c r="M182">
        <v>0</v>
      </c>
      <c r="N182">
        <v>0</v>
      </c>
      <c r="O182">
        <v>0</v>
      </c>
      <c r="P182">
        <v>0</v>
      </c>
      <c r="Q182">
        <v>0</v>
      </c>
      <c r="R182">
        <v>0</v>
      </c>
      <c r="S182">
        <v>0</v>
      </c>
      <c r="T182">
        <f t="shared" si="7"/>
        <v>-95</v>
      </c>
    </row>
    <row r="183" spans="1:20" x14ac:dyDescent="0.25">
      <c r="A183">
        <f t="shared" si="8"/>
        <v>181.5</v>
      </c>
      <c r="B183">
        <v>14549</v>
      </c>
      <c r="C183" t="s">
        <v>461</v>
      </c>
      <c r="D183" t="s">
        <v>139</v>
      </c>
      <c r="E183" t="s">
        <v>408</v>
      </c>
      <c r="F183">
        <v>16</v>
      </c>
      <c r="G183">
        <v>0</v>
      </c>
      <c r="H183">
        <v>0</v>
      </c>
      <c r="I183">
        <v>0</v>
      </c>
      <c r="J183">
        <v>0</v>
      </c>
      <c r="K183">
        <v>0</v>
      </c>
      <c r="L183">
        <v>0</v>
      </c>
      <c r="M183">
        <v>0</v>
      </c>
      <c r="N183">
        <v>0</v>
      </c>
      <c r="O183">
        <v>0</v>
      </c>
      <c r="P183">
        <v>0</v>
      </c>
      <c r="Q183">
        <v>0</v>
      </c>
      <c r="R183">
        <v>0</v>
      </c>
      <c r="S183">
        <v>0</v>
      </c>
      <c r="T183">
        <f t="shared" si="7"/>
        <v>-95</v>
      </c>
    </row>
    <row r="184" spans="1:20" x14ac:dyDescent="0.25">
      <c r="A184">
        <f t="shared" si="8"/>
        <v>181.5</v>
      </c>
      <c r="B184">
        <v>16561</v>
      </c>
      <c r="C184" t="s">
        <v>468</v>
      </c>
      <c r="D184" t="s">
        <v>139</v>
      </c>
      <c r="E184" t="s">
        <v>411</v>
      </c>
      <c r="F184">
        <v>16</v>
      </c>
      <c r="G184">
        <v>0</v>
      </c>
      <c r="H184">
        <v>0</v>
      </c>
      <c r="I184">
        <v>0</v>
      </c>
      <c r="J184">
        <v>0</v>
      </c>
      <c r="K184">
        <v>0</v>
      </c>
      <c r="L184">
        <v>0</v>
      </c>
      <c r="M184">
        <v>0</v>
      </c>
      <c r="N184">
        <v>0</v>
      </c>
      <c r="O184">
        <v>0</v>
      </c>
      <c r="P184">
        <v>0</v>
      </c>
      <c r="Q184">
        <v>0</v>
      </c>
      <c r="R184">
        <v>0</v>
      </c>
      <c r="S184">
        <v>0</v>
      </c>
      <c r="T184">
        <f t="shared" si="7"/>
        <v>-95</v>
      </c>
    </row>
    <row r="185" spans="1:20" x14ac:dyDescent="0.25">
      <c r="A185">
        <f t="shared" si="8"/>
        <v>181.5</v>
      </c>
      <c r="B185">
        <v>16557</v>
      </c>
      <c r="C185" t="s">
        <v>491</v>
      </c>
      <c r="D185" t="s">
        <v>139</v>
      </c>
      <c r="E185" t="s">
        <v>430</v>
      </c>
      <c r="F185">
        <v>16</v>
      </c>
      <c r="G185">
        <v>0</v>
      </c>
      <c r="H185">
        <v>0</v>
      </c>
      <c r="I185">
        <v>0</v>
      </c>
      <c r="J185">
        <v>0</v>
      </c>
      <c r="K185">
        <v>0</v>
      </c>
      <c r="L185">
        <v>0</v>
      </c>
      <c r="M185">
        <v>0</v>
      </c>
      <c r="N185">
        <v>0</v>
      </c>
      <c r="O185">
        <v>0</v>
      </c>
      <c r="P185">
        <v>0</v>
      </c>
      <c r="Q185">
        <v>0</v>
      </c>
      <c r="R185">
        <v>0</v>
      </c>
      <c r="S185">
        <v>0</v>
      </c>
      <c r="T185">
        <f t="shared" si="7"/>
        <v>-95</v>
      </c>
    </row>
    <row r="186" spans="1:20" x14ac:dyDescent="0.25">
      <c r="A186">
        <f t="shared" si="8"/>
        <v>181.5</v>
      </c>
      <c r="B186">
        <v>14687</v>
      </c>
      <c r="C186" t="s">
        <v>672</v>
      </c>
      <c r="D186" t="s">
        <v>139</v>
      </c>
      <c r="E186" t="s">
        <v>639</v>
      </c>
      <c r="F186">
        <v>16</v>
      </c>
      <c r="G186">
        <v>0</v>
      </c>
      <c r="H186">
        <v>0</v>
      </c>
      <c r="I186">
        <v>0</v>
      </c>
      <c r="J186">
        <v>0</v>
      </c>
      <c r="K186">
        <v>0</v>
      </c>
      <c r="L186">
        <v>0</v>
      </c>
      <c r="M186">
        <v>0</v>
      </c>
      <c r="N186">
        <v>0</v>
      </c>
      <c r="O186">
        <v>0</v>
      </c>
      <c r="P186">
        <v>0</v>
      </c>
      <c r="Q186">
        <v>0</v>
      </c>
      <c r="R186">
        <v>0</v>
      </c>
      <c r="S186">
        <v>0</v>
      </c>
      <c r="T186">
        <f t="shared" si="7"/>
        <v>-95</v>
      </c>
    </row>
    <row r="187" spans="1:20" x14ac:dyDescent="0.25">
      <c r="A187">
        <f t="shared" si="8"/>
        <v>181.5</v>
      </c>
      <c r="B187">
        <v>16423</v>
      </c>
      <c r="C187" t="s">
        <v>673</v>
      </c>
      <c r="D187" t="s">
        <v>139</v>
      </c>
      <c r="E187" t="s">
        <v>639</v>
      </c>
      <c r="F187">
        <v>16</v>
      </c>
      <c r="G187">
        <v>0</v>
      </c>
      <c r="H187">
        <v>0</v>
      </c>
      <c r="I187">
        <v>0</v>
      </c>
      <c r="J187">
        <v>0</v>
      </c>
      <c r="K187">
        <v>0</v>
      </c>
      <c r="L187">
        <v>0</v>
      </c>
      <c r="M187">
        <v>0</v>
      </c>
      <c r="N187">
        <v>0</v>
      </c>
      <c r="O187">
        <v>0</v>
      </c>
      <c r="P187">
        <v>0</v>
      </c>
      <c r="Q187">
        <v>0</v>
      </c>
      <c r="R187">
        <v>0</v>
      </c>
      <c r="S187">
        <v>0</v>
      </c>
      <c r="T187">
        <f t="shared" si="7"/>
        <v>-95</v>
      </c>
    </row>
    <row r="188" spans="1:20" x14ac:dyDescent="0.25">
      <c r="A188">
        <f t="shared" si="8"/>
        <v>181.5</v>
      </c>
      <c r="B188">
        <v>17120</v>
      </c>
      <c r="C188" t="s">
        <v>793</v>
      </c>
      <c r="D188" t="s">
        <v>139</v>
      </c>
      <c r="E188" t="s">
        <v>768</v>
      </c>
      <c r="F188">
        <v>16</v>
      </c>
      <c r="G188">
        <v>0</v>
      </c>
      <c r="H188">
        <v>0</v>
      </c>
      <c r="I188">
        <v>0</v>
      </c>
      <c r="J188">
        <v>0</v>
      </c>
      <c r="K188">
        <v>0</v>
      </c>
      <c r="L188">
        <v>0</v>
      </c>
      <c r="M188">
        <v>0</v>
      </c>
      <c r="N188">
        <v>0</v>
      </c>
      <c r="O188">
        <v>0</v>
      </c>
      <c r="P188">
        <v>0</v>
      </c>
      <c r="Q188">
        <v>0</v>
      </c>
      <c r="R188">
        <v>0</v>
      </c>
      <c r="S188">
        <v>0</v>
      </c>
      <c r="T188">
        <f t="shared" si="7"/>
        <v>-95</v>
      </c>
    </row>
    <row r="189" spans="1:20" x14ac:dyDescent="0.25">
      <c r="A189">
        <f t="shared" si="8"/>
        <v>181.5</v>
      </c>
      <c r="B189">
        <v>16178</v>
      </c>
      <c r="C189" t="s">
        <v>816</v>
      </c>
      <c r="D189" t="s">
        <v>139</v>
      </c>
      <c r="E189" t="s">
        <v>783</v>
      </c>
      <c r="F189">
        <v>16</v>
      </c>
      <c r="G189">
        <v>0</v>
      </c>
      <c r="H189">
        <v>0</v>
      </c>
      <c r="I189">
        <v>0</v>
      </c>
      <c r="J189">
        <v>0</v>
      </c>
      <c r="K189">
        <v>0</v>
      </c>
      <c r="L189">
        <v>0</v>
      </c>
      <c r="M189">
        <v>0</v>
      </c>
      <c r="N189">
        <v>0</v>
      </c>
      <c r="O189">
        <v>0</v>
      </c>
      <c r="P189">
        <v>0</v>
      </c>
      <c r="Q189">
        <v>0</v>
      </c>
      <c r="R189">
        <v>0</v>
      </c>
      <c r="S189">
        <v>0</v>
      </c>
      <c r="T189">
        <f t="shared" si="7"/>
        <v>-95</v>
      </c>
    </row>
    <row r="190" spans="1:20" x14ac:dyDescent="0.25">
      <c r="A190">
        <f t="shared" si="8"/>
        <v>189</v>
      </c>
      <c r="B190">
        <v>16703</v>
      </c>
      <c r="C190" t="s">
        <v>201</v>
      </c>
      <c r="D190" t="s">
        <v>139</v>
      </c>
      <c r="E190" t="s">
        <v>172</v>
      </c>
      <c r="F190">
        <v>16</v>
      </c>
      <c r="G190">
        <v>5</v>
      </c>
      <c r="H190">
        <v>16</v>
      </c>
      <c r="I190">
        <v>3.2</v>
      </c>
      <c r="J190">
        <v>0</v>
      </c>
      <c r="K190">
        <v>0</v>
      </c>
      <c r="L190">
        <v>0</v>
      </c>
      <c r="M190">
        <v>0</v>
      </c>
      <c r="N190">
        <v>0</v>
      </c>
      <c r="O190">
        <v>1</v>
      </c>
      <c r="P190">
        <v>1</v>
      </c>
      <c r="Q190">
        <v>0</v>
      </c>
      <c r="R190">
        <v>-0.4</v>
      </c>
      <c r="S190">
        <v>-0.39999999999999991</v>
      </c>
      <c r="T190">
        <f t="shared" si="7"/>
        <v>-95.4</v>
      </c>
    </row>
  </sheetData>
  <autoFilter ref="A1:S190">
    <sortState ref="A2:S190">
      <sortCondition ref="A1:A190"/>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Y246"/>
  <sheetViews>
    <sheetView workbookViewId="0">
      <selection activeCell="G6" sqref="G6"/>
    </sheetView>
  </sheetViews>
  <sheetFormatPr defaultRowHeight="15" x14ac:dyDescent="0.25"/>
  <sheetData>
    <row r="1" spans="1:25" x14ac:dyDescent="0.25">
      <c r="A1" t="s">
        <v>51</v>
      </c>
      <c r="B1" t="s">
        <v>52</v>
      </c>
      <c r="C1" t="s">
        <v>53</v>
      </c>
      <c r="D1" t="s">
        <v>54</v>
      </c>
      <c r="E1" t="s">
        <v>55</v>
      </c>
      <c r="F1" t="s">
        <v>56</v>
      </c>
      <c r="G1" t="s">
        <v>119</v>
      </c>
      <c r="H1" t="s">
        <v>120</v>
      </c>
      <c r="I1" t="s">
        <v>59</v>
      </c>
      <c r="J1" t="s">
        <v>110</v>
      </c>
      <c r="K1" t="s">
        <v>112</v>
      </c>
      <c r="L1" t="s">
        <v>60</v>
      </c>
      <c r="M1" t="s">
        <v>123</v>
      </c>
      <c r="N1" t="s">
        <v>124</v>
      </c>
      <c r="O1" t="s">
        <v>125</v>
      </c>
      <c r="P1" t="s">
        <v>110</v>
      </c>
      <c r="Q1" t="s">
        <v>112</v>
      </c>
      <c r="R1" t="s">
        <v>121</v>
      </c>
      <c r="S1" t="s">
        <v>122</v>
      </c>
      <c r="T1" t="s">
        <v>63</v>
      </c>
      <c r="U1" t="s">
        <v>64</v>
      </c>
      <c r="V1" t="s">
        <v>903</v>
      </c>
      <c r="W1" t="s">
        <v>905</v>
      </c>
      <c r="X1">
        <v>82</v>
      </c>
      <c r="Y1">
        <v>95</v>
      </c>
    </row>
    <row r="2" spans="1:25" x14ac:dyDescent="0.25">
      <c r="A2" s="11">
        <f t="shared" ref="A2:A65" si="0">_xlfn.RANK.AVG(V2,$V$2:$V$246,0)</f>
        <v>1</v>
      </c>
      <c r="B2" s="11">
        <v>11056</v>
      </c>
      <c r="C2" s="11" t="s">
        <v>722</v>
      </c>
      <c r="D2" s="11" t="s">
        <v>145</v>
      </c>
      <c r="E2" s="11" t="s">
        <v>648</v>
      </c>
      <c r="F2" s="11">
        <v>16</v>
      </c>
      <c r="G2" s="11">
        <v>200.5</v>
      </c>
      <c r="H2" s="11">
        <v>123</v>
      </c>
      <c r="I2" s="11">
        <v>61.5</v>
      </c>
      <c r="J2" s="11">
        <v>1654</v>
      </c>
      <c r="K2" s="11">
        <v>10</v>
      </c>
      <c r="L2" s="11">
        <v>0</v>
      </c>
      <c r="M2" s="11">
        <v>8.3000000000000007</v>
      </c>
      <c r="N2" s="11">
        <v>13.4</v>
      </c>
      <c r="O2" s="11">
        <v>4</v>
      </c>
      <c r="P2" s="11">
        <v>20</v>
      </c>
      <c r="Q2" s="11">
        <v>0</v>
      </c>
      <c r="R2" s="11">
        <v>1</v>
      </c>
      <c r="S2" s="11">
        <v>1</v>
      </c>
      <c r="T2" s="11">
        <v>14.1</v>
      </c>
      <c r="U2" s="11">
        <v>225.4</v>
      </c>
      <c r="V2" s="11">
        <v>348.4</v>
      </c>
      <c r="W2" s="11">
        <f>V2-$Y$1</f>
        <v>253.39999999999998</v>
      </c>
    </row>
    <row r="3" spans="1:25" x14ac:dyDescent="0.25">
      <c r="A3" s="11">
        <f t="shared" si="0"/>
        <v>2</v>
      </c>
      <c r="B3" s="11">
        <v>13291</v>
      </c>
      <c r="C3" s="11" t="s">
        <v>207</v>
      </c>
      <c r="D3" s="11" t="s">
        <v>145</v>
      </c>
      <c r="E3" s="11" t="s">
        <v>162</v>
      </c>
      <c r="F3" s="11">
        <v>16</v>
      </c>
      <c r="G3" s="11">
        <v>164.2</v>
      </c>
      <c r="H3" s="11">
        <v>114</v>
      </c>
      <c r="I3" s="11">
        <v>69.5</v>
      </c>
      <c r="J3" s="11">
        <v>1595</v>
      </c>
      <c r="K3" s="11">
        <v>9</v>
      </c>
      <c r="L3" s="11">
        <v>0</v>
      </c>
      <c r="M3" s="11">
        <v>9.6999999999999993</v>
      </c>
      <c r="N3" s="11">
        <v>14</v>
      </c>
      <c r="O3" s="11">
        <v>1</v>
      </c>
      <c r="P3" s="11">
        <v>7</v>
      </c>
      <c r="Q3" s="11">
        <v>0</v>
      </c>
      <c r="R3" s="11">
        <v>1</v>
      </c>
      <c r="S3" s="11">
        <v>1</v>
      </c>
      <c r="T3" s="11">
        <v>13.3</v>
      </c>
      <c r="U3" s="11">
        <v>212.2</v>
      </c>
      <c r="V3" s="11">
        <v>326.2</v>
      </c>
      <c r="W3" s="11">
        <f t="shared" ref="W3:W66" si="1">V3-$Y$1</f>
        <v>231.2</v>
      </c>
    </row>
    <row r="4" spans="1:25" x14ac:dyDescent="0.25">
      <c r="A4" s="11">
        <f t="shared" si="0"/>
        <v>3</v>
      </c>
      <c r="B4" s="11">
        <v>16389</v>
      </c>
      <c r="C4" s="11" t="s">
        <v>696</v>
      </c>
      <c r="D4" s="11" t="s">
        <v>145</v>
      </c>
      <c r="E4" s="11" t="s">
        <v>635</v>
      </c>
      <c r="F4" s="11">
        <v>16</v>
      </c>
      <c r="G4" s="11">
        <v>167</v>
      </c>
      <c r="H4" s="11">
        <v>100</v>
      </c>
      <c r="I4" s="11">
        <v>59.9</v>
      </c>
      <c r="J4" s="11">
        <v>1478</v>
      </c>
      <c r="K4" s="11">
        <v>11</v>
      </c>
      <c r="L4" s="11">
        <v>0</v>
      </c>
      <c r="M4" s="11">
        <v>8.9</v>
      </c>
      <c r="N4" s="11">
        <v>14.8</v>
      </c>
      <c r="O4" s="11">
        <v>2</v>
      </c>
      <c r="P4" s="11">
        <v>13</v>
      </c>
      <c r="Q4" s="11">
        <v>0</v>
      </c>
      <c r="R4" s="11">
        <v>0</v>
      </c>
      <c r="S4" s="11">
        <v>0</v>
      </c>
      <c r="T4" s="11">
        <v>13.4</v>
      </c>
      <c r="U4" s="11">
        <v>215.1</v>
      </c>
      <c r="V4" s="11">
        <v>315.10000000000002</v>
      </c>
      <c r="W4" s="11">
        <f t="shared" si="1"/>
        <v>220.10000000000002</v>
      </c>
    </row>
    <row r="5" spans="1:25" x14ac:dyDescent="0.25">
      <c r="A5" s="11">
        <f t="shared" si="0"/>
        <v>4</v>
      </c>
      <c r="B5" s="11">
        <v>14986</v>
      </c>
      <c r="C5" s="11" t="s">
        <v>508</v>
      </c>
      <c r="D5" s="11" t="s">
        <v>145</v>
      </c>
      <c r="E5" s="11" t="s">
        <v>400</v>
      </c>
      <c r="F5" s="11">
        <v>16</v>
      </c>
      <c r="G5" s="11">
        <v>157.19999999999999</v>
      </c>
      <c r="H5" s="11">
        <v>93</v>
      </c>
      <c r="I5" s="11">
        <v>59.2</v>
      </c>
      <c r="J5" s="11">
        <v>1301</v>
      </c>
      <c r="K5" s="11">
        <v>9</v>
      </c>
      <c r="L5" s="11">
        <v>0</v>
      </c>
      <c r="M5" s="11">
        <v>8.3000000000000007</v>
      </c>
      <c r="N5" s="11">
        <v>14</v>
      </c>
      <c r="O5" s="11">
        <v>0</v>
      </c>
      <c r="P5" s="11">
        <v>0</v>
      </c>
      <c r="Q5" s="11">
        <v>0</v>
      </c>
      <c r="R5" s="11">
        <v>0</v>
      </c>
      <c r="S5" s="11">
        <v>0</v>
      </c>
      <c r="T5" s="11">
        <v>11.5</v>
      </c>
      <c r="U5" s="11">
        <v>184.1</v>
      </c>
      <c r="V5" s="11">
        <v>277.10000000000002</v>
      </c>
      <c r="W5" s="11">
        <f t="shared" si="1"/>
        <v>182.10000000000002</v>
      </c>
    </row>
    <row r="6" spans="1:25" x14ac:dyDescent="0.25">
      <c r="A6" s="11">
        <f t="shared" si="0"/>
        <v>5</v>
      </c>
      <c r="B6" s="11">
        <v>12845</v>
      </c>
      <c r="C6" s="11" t="s">
        <v>332</v>
      </c>
      <c r="D6" s="11" t="s">
        <v>145</v>
      </c>
      <c r="E6" s="11" t="s">
        <v>279</v>
      </c>
      <c r="F6" s="11">
        <v>16</v>
      </c>
      <c r="G6" s="11">
        <v>124.4</v>
      </c>
      <c r="H6" s="11">
        <v>87</v>
      </c>
      <c r="I6" s="11">
        <v>70.2</v>
      </c>
      <c r="J6" s="11">
        <v>1259</v>
      </c>
      <c r="K6" s="11">
        <v>10</v>
      </c>
      <c r="L6" s="11">
        <v>0</v>
      </c>
      <c r="M6" s="11">
        <v>10.199999999999999</v>
      </c>
      <c r="N6" s="11">
        <v>14.5</v>
      </c>
      <c r="O6" s="11">
        <v>0</v>
      </c>
      <c r="P6" s="11">
        <v>0</v>
      </c>
      <c r="Q6" s="11">
        <v>0</v>
      </c>
      <c r="R6" s="11">
        <v>1</v>
      </c>
      <c r="S6" s="11">
        <v>1</v>
      </c>
      <c r="T6" s="11">
        <v>11.5</v>
      </c>
      <c r="U6" s="11">
        <v>183.9</v>
      </c>
      <c r="V6" s="11">
        <v>270.89999999999998</v>
      </c>
      <c r="W6" s="11">
        <f t="shared" si="1"/>
        <v>175.89999999999998</v>
      </c>
    </row>
    <row r="7" spans="1:25" x14ac:dyDescent="0.25">
      <c r="A7" s="11">
        <f t="shared" si="0"/>
        <v>6</v>
      </c>
      <c r="B7" s="11">
        <v>11667</v>
      </c>
      <c r="C7" s="11" t="s">
        <v>702</v>
      </c>
      <c r="D7" s="11" t="s">
        <v>145</v>
      </c>
      <c r="E7" s="11" t="s">
        <v>639</v>
      </c>
      <c r="F7" s="11">
        <v>16</v>
      </c>
      <c r="G7" s="11">
        <v>154</v>
      </c>
      <c r="H7" s="11">
        <v>89</v>
      </c>
      <c r="I7" s="11">
        <v>57.8</v>
      </c>
      <c r="J7" s="11">
        <v>1209</v>
      </c>
      <c r="K7" s="11">
        <v>8</v>
      </c>
      <c r="L7" s="11">
        <v>0</v>
      </c>
      <c r="M7" s="11">
        <v>7.9</v>
      </c>
      <c r="N7" s="11">
        <v>13.6</v>
      </c>
      <c r="O7" s="11">
        <v>0</v>
      </c>
      <c r="P7" s="11">
        <v>0</v>
      </c>
      <c r="Q7" s="11">
        <v>0</v>
      </c>
      <c r="R7" s="11">
        <v>1</v>
      </c>
      <c r="S7" s="11">
        <v>1</v>
      </c>
      <c r="T7" s="11">
        <v>10.4</v>
      </c>
      <c r="U7" s="11">
        <v>166.9</v>
      </c>
      <c r="V7" s="11">
        <v>255.89999999999998</v>
      </c>
      <c r="W7" s="11">
        <f t="shared" si="1"/>
        <v>160.89999999999998</v>
      </c>
    </row>
    <row r="8" spans="1:25" x14ac:dyDescent="0.25">
      <c r="A8" s="11">
        <f t="shared" si="0"/>
        <v>7</v>
      </c>
      <c r="B8" s="11">
        <v>11270</v>
      </c>
      <c r="C8" s="11" t="s">
        <v>348</v>
      </c>
      <c r="D8" s="11" t="s">
        <v>145</v>
      </c>
      <c r="E8" s="11" t="s">
        <v>288</v>
      </c>
      <c r="F8" s="11">
        <v>16</v>
      </c>
      <c r="G8" s="11">
        <v>124.6</v>
      </c>
      <c r="H8" s="11">
        <v>82</v>
      </c>
      <c r="I8" s="11">
        <v>65.599999999999994</v>
      </c>
      <c r="J8" s="11">
        <v>1136</v>
      </c>
      <c r="K8" s="11">
        <v>10</v>
      </c>
      <c r="L8" s="11">
        <v>0</v>
      </c>
      <c r="M8" s="11">
        <v>9.1</v>
      </c>
      <c r="N8" s="11">
        <v>13.9</v>
      </c>
      <c r="O8" s="11">
        <v>0</v>
      </c>
      <c r="P8" s="11">
        <v>0</v>
      </c>
      <c r="Q8" s="11">
        <v>0</v>
      </c>
      <c r="R8" s="11">
        <v>0</v>
      </c>
      <c r="S8" s="11">
        <v>0</v>
      </c>
      <c r="T8" s="11">
        <v>10.8</v>
      </c>
      <c r="U8" s="11">
        <v>173.6</v>
      </c>
      <c r="V8" s="11">
        <v>255.6</v>
      </c>
      <c r="W8" s="11">
        <f t="shared" si="1"/>
        <v>160.6</v>
      </c>
    </row>
    <row r="9" spans="1:25" x14ac:dyDescent="0.25">
      <c r="A9" s="11">
        <f t="shared" si="0"/>
        <v>8</v>
      </c>
      <c r="B9" s="11">
        <v>4556</v>
      </c>
      <c r="C9" s="11" t="s">
        <v>501</v>
      </c>
      <c r="D9" s="11" t="s">
        <v>145</v>
      </c>
      <c r="E9" s="11" t="s">
        <v>397</v>
      </c>
      <c r="F9" s="11">
        <v>16</v>
      </c>
      <c r="G9" s="11">
        <v>142.69999999999999</v>
      </c>
      <c r="H9" s="11">
        <v>82</v>
      </c>
      <c r="I9" s="11">
        <v>57.3</v>
      </c>
      <c r="J9" s="11">
        <v>1185</v>
      </c>
      <c r="K9" s="11">
        <v>9</v>
      </c>
      <c r="L9" s="11">
        <v>0</v>
      </c>
      <c r="M9" s="11">
        <v>8.3000000000000007</v>
      </c>
      <c r="N9" s="11">
        <v>14.5</v>
      </c>
      <c r="O9" s="11">
        <v>0.5</v>
      </c>
      <c r="P9" s="11">
        <v>2</v>
      </c>
      <c r="Q9" s="11">
        <v>0</v>
      </c>
      <c r="R9" s="11">
        <v>0</v>
      </c>
      <c r="S9" s="11">
        <v>0</v>
      </c>
      <c r="T9" s="11">
        <v>10.8</v>
      </c>
      <c r="U9" s="11">
        <v>172.7</v>
      </c>
      <c r="V9" s="11">
        <v>254.7</v>
      </c>
      <c r="W9" s="11">
        <f t="shared" si="1"/>
        <v>159.69999999999999</v>
      </c>
    </row>
    <row r="10" spans="1:25" x14ac:dyDescent="0.25">
      <c r="A10" s="11">
        <f t="shared" si="0"/>
        <v>9</v>
      </c>
      <c r="B10" s="11">
        <v>16263</v>
      </c>
      <c r="C10" s="11" t="s">
        <v>520</v>
      </c>
      <c r="D10" s="11" t="s">
        <v>145</v>
      </c>
      <c r="E10" s="11" t="s">
        <v>408</v>
      </c>
      <c r="F10" s="11">
        <v>16</v>
      </c>
      <c r="G10" s="11">
        <v>137.30000000000001</v>
      </c>
      <c r="H10" s="11">
        <v>78</v>
      </c>
      <c r="I10" s="11">
        <v>56.9</v>
      </c>
      <c r="J10" s="11">
        <v>1222</v>
      </c>
      <c r="K10" s="11">
        <v>9</v>
      </c>
      <c r="L10" s="11">
        <v>0</v>
      </c>
      <c r="M10" s="11">
        <v>8.9</v>
      </c>
      <c r="N10" s="11">
        <v>15.7</v>
      </c>
      <c r="O10" s="11">
        <v>0</v>
      </c>
      <c r="P10" s="11">
        <v>0</v>
      </c>
      <c r="Q10" s="11">
        <v>0</v>
      </c>
      <c r="R10" s="11">
        <v>0</v>
      </c>
      <c r="S10" s="11">
        <v>0</v>
      </c>
      <c r="T10" s="11">
        <v>11</v>
      </c>
      <c r="U10" s="11">
        <v>176.2</v>
      </c>
      <c r="V10" s="11">
        <v>254.2</v>
      </c>
      <c r="W10" s="11">
        <f t="shared" si="1"/>
        <v>159.19999999999999</v>
      </c>
    </row>
    <row r="11" spans="1:25" x14ac:dyDescent="0.25">
      <c r="A11" s="11">
        <f t="shared" si="0"/>
        <v>10</v>
      </c>
      <c r="B11" s="11">
        <v>14187</v>
      </c>
      <c r="C11" s="11" t="s">
        <v>323</v>
      </c>
      <c r="D11" s="11" t="s">
        <v>145</v>
      </c>
      <c r="E11" s="11" t="s">
        <v>273</v>
      </c>
      <c r="F11" s="11">
        <v>16</v>
      </c>
      <c r="G11" s="11">
        <v>124.3</v>
      </c>
      <c r="H11" s="11">
        <v>84</v>
      </c>
      <c r="I11" s="11">
        <v>67.7</v>
      </c>
      <c r="J11" s="11">
        <v>1215</v>
      </c>
      <c r="K11" s="11">
        <v>8</v>
      </c>
      <c r="L11" s="11">
        <v>0</v>
      </c>
      <c r="M11" s="11">
        <v>9.8000000000000007</v>
      </c>
      <c r="N11" s="11">
        <v>14.5</v>
      </c>
      <c r="O11" s="11">
        <v>0.5</v>
      </c>
      <c r="P11" s="11">
        <v>2</v>
      </c>
      <c r="Q11" s="11">
        <v>0</v>
      </c>
      <c r="R11" s="11">
        <v>0</v>
      </c>
      <c r="S11" s="11">
        <v>0</v>
      </c>
      <c r="T11" s="11">
        <v>10.6</v>
      </c>
      <c r="U11" s="11">
        <v>169.7</v>
      </c>
      <c r="V11" s="11">
        <v>253.7</v>
      </c>
      <c r="W11" s="11">
        <f t="shared" si="1"/>
        <v>158.69999999999999</v>
      </c>
    </row>
    <row r="12" spans="1:25" x14ac:dyDescent="0.25">
      <c r="A12" s="11">
        <f t="shared" si="0"/>
        <v>11</v>
      </c>
      <c r="B12" s="11">
        <v>15076</v>
      </c>
      <c r="C12" s="11" t="s">
        <v>822</v>
      </c>
      <c r="D12" s="11" t="s">
        <v>145</v>
      </c>
      <c r="E12" s="11" t="s">
        <v>768</v>
      </c>
      <c r="F12" s="11">
        <v>16</v>
      </c>
      <c r="G12" s="11">
        <v>168.3</v>
      </c>
      <c r="H12" s="11">
        <v>99</v>
      </c>
      <c r="I12" s="11">
        <v>58.9</v>
      </c>
      <c r="J12" s="11">
        <v>1132</v>
      </c>
      <c r="K12" s="11">
        <v>7</v>
      </c>
      <c r="L12" s="11">
        <v>0</v>
      </c>
      <c r="M12" s="11">
        <v>6.7</v>
      </c>
      <c r="N12" s="11">
        <v>11.4</v>
      </c>
      <c r="O12" s="11">
        <v>0</v>
      </c>
      <c r="P12" s="11">
        <v>0</v>
      </c>
      <c r="Q12" s="11">
        <v>0</v>
      </c>
      <c r="R12" s="11">
        <v>1</v>
      </c>
      <c r="S12" s="11">
        <v>1</v>
      </c>
      <c r="T12" s="11">
        <v>9.6</v>
      </c>
      <c r="U12" s="11">
        <v>153.19999999999999</v>
      </c>
      <c r="V12" s="11">
        <v>252.2</v>
      </c>
      <c r="W12" s="11">
        <f t="shared" si="1"/>
        <v>157.19999999999999</v>
      </c>
    </row>
    <row r="13" spans="1:25" x14ac:dyDescent="0.25">
      <c r="A13" s="11">
        <f t="shared" si="0"/>
        <v>12</v>
      </c>
      <c r="B13" s="11">
        <v>16597</v>
      </c>
      <c r="C13" s="11" t="s">
        <v>843</v>
      </c>
      <c r="D13" s="11" t="s">
        <v>145</v>
      </c>
      <c r="E13" s="11" t="s">
        <v>779</v>
      </c>
      <c r="F13" s="11">
        <v>16</v>
      </c>
      <c r="G13" s="11">
        <v>117</v>
      </c>
      <c r="H13" s="11">
        <v>78</v>
      </c>
      <c r="I13" s="11">
        <v>66.7</v>
      </c>
      <c r="J13" s="11">
        <v>1193</v>
      </c>
      <c r="K13" s="11">
        <v>9</v>
      </c>
      <c r="L13" s="11">
        <v>0</v>
      </c>
      <c r="M13" s="11">
        <v>10.199999999999999</v>
      </c>
      <c r="N13" s="11">
        <v>15.3</v>
      </c>
      <c r="O13" s="11">
        <v>0</v>
      </c>
      <c r="P13" s="11">
        <v>0</v>
      </c>
      <c r="Q13" s="11">
        <v>0</v>
      </c>
      <c r="R13" s="11">
        <v>1</v>
      </c>
      <c r="S13" s="11">
        <v>1</v>
      </c>
      <c r="T13" s="11">
        <v>10.7</v>
      </c>
      <c r="U13" s="11">
        <v>171.3</v>
      </c>
      <c r="V13" s="11">
        <v>249.3</v>
      </c>
      <c r="W13" s="11">
        <f t="shared" si="1"/>
        <v>154.30000000000001</v>
      </c>
    </row>
    <row r="14" spans="1:25" x14ac:dyDescent="0.25">
      <c r="A14" s="11">
        <f t="shared" si="0"/>
        <v>13</v>
      </c>
      <c r="B14" s="11">
        <v>11197</v>
      </c>
      <c r="C14" s="11" t="s">
        <v>355</v>
      </c>
      <c r="D14" s="11" t="s">
        <v>145</v>
      </c>
      <c r="E14" s="11" t="s">
        <v>292</v>
      </c>
      <c r="F14" s="11">
        <v>16</v>
      </c>
      <c r="G14" s="11">
        <v>132.9</v>
      </c>
      <c r="H14" s="11">
        <v>91</v>
      </c>
      <c r="I14" s="11">
        <v>68.400000000000006</v>
      </c>
      <c r="J14" s="11">
        <v>1178</v>
      </c>
      <c r="K14" s="11">
        <v>7</v>
      </c>
      <c r="L14" s="11">
        <v>0</v>
      </c>
      <c r="M14" s="11">
        <v>8.9</v>
      </c>
      <c r="N14" s="11">
        <v>12.9</v>
      </c>
      <c r="O14" s="11">
        <v>0</v>
      </c>
      <c r="P14" s="11">
        <v>0</v>
      </c>
      <c r="Q14" s="11">
        <v>0</v>
      </c>
      <c r="R14" s="11">
        <v>1</v>
      </c>
      <c r="S14" s="11">
        <v>1</v>
      </c>
      <c r="T14" s="11">
        <v>9.9</v>
      </c>
      <c r="U14" s="11">
        <v>157.80000000000001</v>
      </c>
      <c r="V14" s="11">
        <v>248.8</v>
      </c>
      <c r="W14" s="11">
        <f t="shared" si="1"/>
        <v>153.80000000000001</v>
      </c>
    </row>
    <row r="15" spans="1:25" x14ac:dyDescent="0.25">
      <c r="A15" s="11">
        <f t="shared" si="0"/>
        <v>14</v>
      </c>
      <c r="B15" s="11">
        <v>16568</v>
      </c>
      <c r="C15" s="11" t="s">
        <v>689</v>
      </c>
      <c r="D15" s="11" t="s">
        <v>145</v>
      </c>
      <c r="E15" s="11" t="s">
        <v>631</v>
      </c>
      <c r="F15" s="11">
        <v>16</v>
      </c>
      <c r="G15" s="11">
        <v>121.6</v>
      </c>
      <c r="H15" s="11">
        <v>85</v>
      </c>
      <c r="I15" s="11">
        <v>69.7</v>
      </c>
      <c r="J15" s="11">
        <v>1125</v>
      </c>
      <c r="K15" s="11">
        <v>7</v>
      </c>
      <c r="L15" s="11">
        <v>0</v>
      </c>
      <c r="M15" s="11">
        <v>9.1999999999999993</v>
      </c>
      <c r="N15" s="11">
        <v>13.2</v>
      </c>
      <c r="O15" s="11">
        <v>7</v>
      </c>
      <c r="P15" s="11">
        <v>38</v>
      </c>
      <c r="Q15" s="11">
        <v>0</v>
      </c>
      <c r="R15" s="11">
        <v>0</v>
      </c>
      <c r="S15" s="11">
        <v>0</v>
      </c>
      <c r="T15" s="11">
        <v>9.9</v>
      </c>
      <c r="U15" s="11">
        <v>158.30000000000001</v>
      </c>
      <c r="V15" s="11">
        <v>243.3</v>
      </c>
      <c r="W15" s="11">
        <f t="shared" si="1"/>
        <v>148.30000000000001</v>
      </c>
    </row>
    <row r="16" spans="1:25" x14ac:dyDescent="0.25">
      <c r="A16" s="11">
        <f t="shared" si="0"/>
        <v>15</v>
      </c>
      <c r="B16" s="11">
        <v>14005</v>
      </c>
      <c r="C16" s="11" t="s">
        <v>514</v>
      </c>
      <c r="D16" s="11" t="s">
        <v>145</v>
      </c>
      <c r="E16" s="11" t="s">
        <v>404</v>
      </c>
      <c r="F16" s="11">
        <v>16</v>
      </c>
      <c r="G16" s="11">
        <v>110.9</v>
      </c>
      <c r="H16" s="11">
        <v>77</v>
      </c>
      <c r="I16" s="11">
        <v>69.400000000000006</v>
      </c>
      <c r="J16" s="11">
        <v>1194</v>
      </c>
      <c r="K16" s="11">
        <v>7</v>
      </c>
      <c r="L16" s="11">
        <v>0</v>
      </c>
      <c r="M16" s="11">
        <v>10.8</v>
      </c>
      <c r="N16" s="11">
        <v>15.5</v>
      </c>
      <c r="O16" s="11">
        <v>1</v>
      </c>
      <c r="P16" s="11">
        <v>2</v>
      </c>
      <c r="Q16" s="11">
        <v>0</v>
      </c>
      <c r="R16" s="11">
        <v>0</v>
      </c>
      <c r="S16" s="11">
        <v>0</v>
      </c>
      <c r="T16" s="11">
        <v>10.1</v>
      </c>
      <c r="U16" s="11">
        <v>161.6</v>
      </c>
      <c r="V16" s="11">
        <v>238.6</v>
      </c>
      <c r="W16" s="11">
        <f t="shared" si="1"/>
        <v>143.6</v>
      </c>
    </row>
    <row r="17" spans="1:23" x14ac:dyDescent="0.25">
      <c r="A17" s="11">
        <f t="shared" si="0"/>
        <v>16</v>
      </c>
      <c r="B17" s="11">
        <v>11611</v>
      </c>
      <c r="C17" s="11" t="s">
        <v>492</v>
      </c>
      <c r="D17" s="11" t="s">
        <v>145</v>
      </c>
      <c r="E17" s="11" t="s">
        <v>393</v>
      </c>
      <c r="F17" s="11">
        <v>16</v>
      </c>
      <c r="G17" s="11">
        <v>145.6</v>
      </c>
      <c r="H17" s="11">
        <v>91</v>
      </c>
      <c r="I17" s="11">
        <v>62.3</v>
      </c>
      <c r="J17" s="11">
        <v>1089</v>
      </c>
      <c r="K17" s="11">
        <v>6</v>
      </c>
      <c r="L17" s="11">
        <v>0</v>
      </c>
      <c r="M17" s="11">
        <v>7.5</v>
      </c>
      <c r="N17" s="11">
        <v>12</v>
      </c>
      <c r="O17" s="11">
        <v>6</v>
      </c>
      <c r="P17" s="11">
        <v>36</v>
      </c>
      <c r="Q17" s="11">
        <v>0</v>
      </c>
      <c r="R17" s="11">
        <v>1</v>
      </c>
      <c r="S17" s="11">
        <v>1</v>
      </c>
      <c r="T17" s="11">
        <v>9.1999999999999993</v>
      </c>
      <c r="U17" s="11">
        <v>146.5</v>
      </c>
      <c r="V17" s="11">
        <v>237.5</v>
      </c>
      <c r="W17" s="11">
        <f t="shared" si="1"/>
        <v>142.5</v>
      </c>
    </row>
    <row r="18" spans="1:23" x14ac:dyDescent="0.25">
      <c r="A18" s="11">
        <f t="shared" si="0"/>
        <v>17</v>
      </c>
      <c r="B18" s="11">
        <v>16765</v>
      </c>
      <c r="C18" s="11" t="s">
        <v>710</v>
      </c>
      <c r="D18" s="11" t="s">
        <v>145</v>
      </c>
      <c r="E18" s="11" t="s">
        <v>644</v>
      </c>
      <c r="F18" s="11">
        <v>16</v>
      </c>
      <c r="G18" s="11">
        <v>112.6</v>
      </c>
      <c r="H18" s="11">
        <v>81</v>
      </c>
      <c r="I18" s="11">
        <v>71.7</v>
      </c>
      <c r="J18" s="11">
        <v>1149</v>
      </c>
      <c r="K18" s="11">
        <v>7</v>
      </c>
      <c r="L18" s="11">
        <v>0</v>
      </c>
      <c r="M18" s="11">
        <v>10.199999999999999</v>
      </c>
      <c r="N18" s="11">
        <v>14.2</v>
      </c>
      <c r="O18" s="11">
        <v>0</v>
      </c>
      <c r="P18" s="11">
        <v>0</v>
      </c>
      <c r="Q18" s="11">
        <v>0</v>
      </c>
      <c r="R18" s="11">
        <v>1</v>
      </c>
      <c r="S18" s="11">
        <v>1</v>
      </c>
      <c r="T18" s="11">
        <v>9.6999999999999993</v>
      </c>
      <c r="U18" s="11">
        <v>154.9</v>
      </c>
      <c r="V18" s="11">
        <v>235.9</v>
      </c>
      <c r="W18" s="11">
        <f t="shared" si="1"/>
        <v>140.9</v>
      </c>
    </row>
    <row r="19" spans="1:23" x14ac:dyDescent="0.25">
      <c r="A19" s="11">
        <f t="shared" si="0"/>
        <v>18</v>
      </c>
      <c r="B19" s="11">
        <v>13227</v>
      </c>
      <c r="C19" s="11" t="s">
        <v>502</v>
      </c>
      <c r="D19" s="11" t="s">
        <v>145</v>
      </c>
      <c r="E19" s="11" t="s">
        <v>397</v>
      </c>
      <c r="F19" s="11">
        <v>16</v>
      </c>
      <c r="G19" s="11">
        <v>141</v>
      </c>
      <c r="H19" s="11">
        <v>82</v>
      </c>
      <c r="I19" s="11">
        <v>58.2</v>
      </c>
      <c r="J19" s="11">
        <v>1063</v>
      </c>
      <c r="K19" s="11">
        <v>7</v>
      </c>
      <c r="L19" s="11">
        <v>0</v>
      </c>
      <c r="M19" s="11">
        <v>7.5</v>
      </c>
      <c r="N19" s="11">
        <v>13</v>
      </c>
      <c r="O19" s="11">
        <v>10</v>
      </c>
      <c r="P19" s="11">
        <v>51</v>
      </c>
      <c r="Q19" s="11">
        <v>0</v>
      </c>
      <c r="R19" s="11">
        <v>0</v>
      </c>
      <c r="S19" s="11">
        <v>0</v>
      </c>
      <c r="T19" s="11">
        <v>9.6</v>
      </c>
      <c r="U19" s="11">
        <v>153.4</v>
      </c>
      <c r="V19" s="11">
        <v>235.4</v>
      </c>
      <c r="W19" s="11">
        <f t="shared" si="1"/>
        <v>140.4</v>
      </c>
    </row>
    <row r="20" spans="1:23" x14ac:dyDescent="0.25">
      <c r="A20" s="11">
        <f t="shared" si="0"/>
        <v>19</v>
      </c>
      <c r="B20" s="11">
        <v>16020</v>
      </c>
      <c r="C20" s="11" t="s">
        <v>545</v>
      </c>
      <c r="D20" s="11" t="s">
        <v>145</v>
      </c>
      <c r="E20" s="11" t="s">
        <v>421</v>
      </c>
      <c r="F20" s="11">
        <v>16</v>
      </c>
      <c r="G20" s="11">
        <v>169.1</v>
      </c>
      <c r="H20" s="11">
        <v>95</v>
      </c>
      <c r="I20" s="11">
        <v>56.2</v>
      </c>
      <c r="J20" s="11">
        <v>1006</v>
      </c>
      <c r="K20" s="11">
        <v>6</v>
      </c>
      <c r="L20" s="11">
        <v>0</v>
      </c>
      <c r="M20" s="11">
        <v>6</v>
      </c>
      <c r="N20" s="11">
        <v>10.6</v>
      </c>
      <c r="O20" s="11">
        <v>10</v>
      </c>
      <c r="P20" s="11">
        <v>52</v>
      </c>
      <c r="Q20" s="11">
        <v>0</v>
      </c>
      <c r="R20" s="11">
        <v>1</v>
      </c>
      <c r="S20" s="11">
        <v>1</v>
      </c>
      <c r="T20" s="11">
        <v>8.6999999999999993</v>
      </c>
      <c r="U20" s="11">
        <v>139.80000000000001</v>
      </c>
      <c r="V20" s="11">
        <v>234.79999999999998</v>
      </c>
      <c r="W20" s="11">
        <f t="shared" si="1"/>
        <v>139.79999999999998</v>
      </c>
    </row>
    <row r="21" spans="1:23" x14ac:dyDescent="0.25">
      <c r="A21" s="11">
        <f t="shared" si="0"/>
        <v>20</v>
      </c>
      <c r="B21" s="11">
        <v>8914</v>
      </c>
      <c r="C21" s="11" t="s">
        <v>528</v>
      </c>
      <c r="D21" s="11" t="s">
        <v>145</v>
      </c>
      <c r="E21" s="11" t="s">
        <v>411</v>
      </c>
      <c r="F21" s="11">
        <v>16</v>
      </c>
      <c r="G21" s="11">
        <v>132</v>
      </c>
      <c r="H21" s="11">
        <v>82</v>
      </c>
      <c r="I21" s="11">
        <v>62.1</v>
      </c>
      <c r="J21" s="11">
        <v>1052</v>
      </c>
      <c r="K21" s="11">
        <v>7</v>
      </c>
      <c r="L21" s="11">
        <v>0</v>
      </c>
      <c r="M21" s="11">
        <v>8</v>
      </c>
      <c r="N21" s="11">
        <v>12.8</v>
      </c>
      <c r="O21" s="11">
        <v>2</v>
      </c>
      <c r="P21" s="11">
        <v>10</v>
      </c>
      <c r="Q21" s="11">
        <v>0</v>
      </c>
      <c r="R21" s="11">
        <v>1</v>
      </c>
      <c r="S21" s="11">
        <v>1</v>
      </c>
      <c r="T21" s="11">
        <v>9.1</v>
      </c>
      <c r="U21" s="11">
        <v>146.19999999999999</v>
      </c>
      <c r="V21" s="11">
        <v>228.2</v>
      </c>
      <c r="W21" s="11">
        <f t="shared" si="1"/>
        <v>133.19999999999999</v>
      </c>
    </row>
    <row r="22" spans="1:23" x14ac:dyDescent="0.25">
      <c r="A22" s="11">
        <f t="shared" si="0"/>
        <v>21</v>
      </c>
      <c r="B22" s="11">
        <v>16003</v>
      </c>
      <c r="C22" s="11" t="s">
        <v>227</v>
      </c>
      <c r="D22" s="11" t="s">
        <v>145</v>
      </c>
      <c r="E22" s="11" t="s">
        <v>172</v>
      </c>
      <c r="F22" s="11">
        <v>16</v>
      </c>
      <c r="G22" s="11">
        <v>95.1</v>
      </c>
      <c r="H22" s="11">
        <v>71</v>
      </c>
      <c r="I22" s="11">
        <v>74.7</v>
      </c>
      <c r="J22" s="11">
        <v>1069</v>
      </c>
      <c r="K22" s="11">
        <v>8</v>
      </c>
      <c r="L22" s="11">
        <v>0</v>
      </c>
      <c r="M22" s="11">
        <v>11.3</v>
      </c>
      <c r="N22" s="11">
        <v>15.1</v>
      </c>
      <c r="O22" s="11">
        <v>1</v>
      </c>
      <c r="P22" s="11">
        <v>2</v>
      </c>
      <c r="Q22" s="11">
        <v>0</v>
      </c>
      <c r="R22" s="11">
        <v>0</v>
      </c>
      <c r="S22" s="11">
        <v>0</v>
      </c>
      <c r="T22" s="11">
        <v>9.6999999999999993</v>
      </c>
      <c r="U22" s="11">
        <v>155.1</v>
      </c>
      <c r="V22" s="11">
        <v>226.1</v>
      </c>
      <c r="W22" s="11">
        <f t="shared" si="1"/>
        <v>131.1</v>
      </c>
    </row>
    <row r="23" spans="1:23" x14ac:dyDescent="0.25">
      <c r="A23" s="11">
        <f t="shared" si="0"/>
        <v>22</v>
      </c>
      <c r="B23" s="11">
        <v>11182</v>
      </c>
      <c r="C23" s="11" t="s">
        <v>703</v>
      </c>
      <c r="D23" s="11" t="s">
        <v>145</v>
      </c>
      <c r="E23" s="11" t="s">
        <v>639</v>
      </c>
      <c r="F23" s="11">
        <v>16</v>
      </c>
      <c r="G23" s="11">
        <v>115.5</v>
      </c>
      <c r="H23" s="11">
        <v>75</v>
      </c>
      <c r="I23" s="11">
        <v>64.7</v>
      </c>
      <c r="J23" s="11">
        <v>973</v>
      </c>
      <c r="K23" s="11">
        <v>8</v>
      </c>
      <c r="L23" s="11">
        <v>0</v>
      </c>
      <c r="M23" s="11">
        <v>8.4</v>
      </c>
      <c r="N23" s="11">
        <v>13</v>
      </c>
      <c r="O23" s="11">
        <v>0.3</v>
      </c>
      <c r="P23" s="11">
        <v>1</v>
      </c>
      <c r="Q23" s="11">
        <v>0</v>
      </c>
      <c r="R23" s="11">
        <v>1</v>
      </c>
      <c r="S23" s="11">
        <v>1</v>
      </c>
      <c r="T23" s="11">
        <v>9</v>
      </c>
      <c r="U23" s="11">
        <v>143.4</v>
      </c>
      <c r="V23" s="11">
        <v>218.4</v>
      </c>
      <c r="W23" s="11">
        <f t="shared" si="1"/>
        <v>123.4</v>
      </c>
    </row>
    <row r="24" spans="1:23" x14ac:dyDescent="0.25">
      <c r="A24" s="11">
        <f t="shared" si="0"/>
        <v>23</v>
      </c>
      <c r="B24" s="11">
        <v>8355</v>
      </c>
      <c r="C24" s="11" t="s">
        <v>559</v>
      </c>
      <c r="D24" s="11" t="s">
        <v>145</v>
      </c>
      <c r="E24" s="11" t="s">
        <v>430</v>
      </c>
      <c r="F24" s="11">
        <v>16</v>
      </c>
      <c r="G24" s="11">
        <v>139.9</v>
      </c>
      <c r="H24" s="11">
        <v>88</v>
      </c>
      <c r="I24" s="11">
        <v>62.9</v>
      </c>
      <c r="J24" s="11">
        <v>931</v>
      </c>
      <c r="K24" s="11">
        <v>6</v>
      </c>
      <c r="L24" s="11">
        <v>0</v>
      </c>
      <c r="M24" s="11">
        <v>6.6</v>
      </c>
      <c r="N24" s="11">
        <v>10.6</v>
      </c>
      <c r="O24" s="11">
        <v>5</v>
      </c>
      <c r="P24" s="11">
        <v>27</v>
      </c>
      <c r="Q24" s="11">
        <v>0</v>
      </c>
      <c r="R24" s="11">
        <v>1</v>
      </c>
      <c r="S24" s="11">
        <v>1</v>
      </c>
      <c r="T24" s="11">
        <v>8.1</v>
      </c>
      <c r="U24" s="11">
        <v>129.80000000000001</v>
      </c>
      <c r="V24" s="11">
        <v>217.79999999999998</v>
      </c>
      <c r="W24" s="11">
        <f t="shared" si="1"/>
        <v>122.79999999999998</v>
      </c>
    </row>
    <row r="25" spans="1:23" x14ac:dyDescent="0.25">
      <c r="A25" s="11">
        <f t="shared" si="0"/>
        <v>24</v>
      </c>
      <c r="B25" s="11">
        <v>14478</v>
      </c>
      <c r="C25" s="11" t="s">
        <v>144</v>
      </c>
      <c r="D25" s="11" t="s">
        <v>145</v>
      </c>
      <c r="E25" s="11" t="s">
        <v>135</v>
      </c>
      <c r="F25" s="11">
        <v>16</v>
      </c>
      <c r="G25" s="11">
        <v>96.9</v>
      </c>
      <c r="H25" s="11">
        <v>65</v>
      </c>
      <c r="I25" s="11">
        <v>67</v>
      </c>
      <c r="J25" s="11">
        <v>1005</v>
      </c>
      <c r="K25" s="11">
        <v>8</v>
      </c>
      <c r="L25" s="11">
        <v>0</v>
      </c>
      <c r="M25" s="11">
        <v>10.4</v>
      </c>
      <c r="N25" s="11">
        <v>15.5</v>
      </c>
      <c r="O25" s="11">
        <v>0</v>
      </c>
      <c r="P25" s="11">
        <v>0</v>
      </c>
      <c r="Q25" s="11">
        <v>0</v>
      </c>
      <c r="R25" s="11">
        <v>0</v>
      </c>
      <c r="S25" s="11">
        <v>0</v>
      </c>
      <c r="T25" s="11">
        <v>9.3000000000000007</v>
      </c>
      <c r="U25" s="11">
        <v>148.5</v>
      </c>
      <c r="V25" s="11">
        <v>213.5</v>
      </c>
      <c r="W25" s="11">
        <f t="shared" si="1"/>
        <v>118.5</v>
      </c>
    </row>
    <row r="26" spans="1:23" x14ac:dyDescent="0.25">
      <c r="A26" s="11">
        <f t="shared" si="0"/>
        <v>25</v>
      </c>
      <c r="B26" s="11">
        <v>15974</v>
      </c>
      <c r="C26" s="11" t="s">
        <v>715</v>
      </c>
      <c r="D26" s="11" t="s">
        <v>145</v>
      </c>
      <c r="E26" s="11" t="s">
        <v>107</v>
      </c>
      <c r="F26" s="11">
        <v>16</v>
      </c>
      <c r="G26" s="11">
        <v>136.30000000000001</v>
      </c>
      <c r="H26" s="11">
        <v>77</v>
      </c>
      <c r="I26" s="11">
        <v>56.6</v>
      </c>
      <c r="J26" s="11">
        <v>960</v>
      </c>
      <c r="K26" s="11">
        <v>7</v>
      </c>
      <c r="L26" s="11">
        <v>0</v>
      </c>
      <c r="M26" s="11">
        <v>7.1</v>
      </c>
      <c r="N26" s="11">
        <v>12.5</v>
      </c>
      <c r="O26" s="11">
        <v>0</v>
      </c>
      <c r="P26" s="11">
        <v>0</v>
      </c>
      <c r="Q26" s="11">
        <v>0</v>
      </c>
      <c r="R26" s="11">
        <v>1</v>
      </c>
      <c r="S26" s="11">
        <v>1</v>
      </c>
      <c r="T26" s="11">
        <v>8.5</v>
      </c>
      <c r="U26" s="11">
        <v>136</v>
      </c>
      <c r="V26" s="11">
        <v>213</v>
      </c>
      <c r="W26" s="11">
        <f t="shared" si="1"/>
        <v>118</v>
      </c>
    </row>
    <row r="27" spans="1:23" x14ac:dyDescent="0.25">
      <c r="A27" s="11">
        <f t="shared" si="0"/>
        <v>26</v>
      </c>
      <c r="B27" s="11">
        <v>13460</v>
      </c>
      <c r="C27" s="11" t="s">
        <v>829</v>
      </c>
      <c r="D27" s="11" t="s">
        <v>145</v>
      </c>
      <c r="E27" s="11" t="s">
        <v>772</v>
      </c>
      <c r="F27" s="11">
        <v>16</v>
      </c>
      <c r="G27" s="11">
        <v>112.2</v>
      </c>
      <c r="H27" s="11">
        <v>71</v>
      </c>
      <c r="I27" s="11">
        <v>63.4</v>
      </c>
      <c r="J27" s="11">
        <v>939</v>
      </c>
      <c r="K27" s="11">
        <v>8</v>
      </c>
      <c r="L27" s="11">
        <v>0</v>
      </c>
      <c r="M27" s="11">
        <v>8.4</v>
      </c>
      <c r="N27" s="11">
        <v>13.2</v>
      </c>
      <c r="O27" s="11">
        <v>0</v>
      </c>
      <c r="P27" s="11">
        <v>0</v>
      </c>
      <c r="Q27" s="11">
        <v>0</v>
      </c>
      <c r="R27" s="11">
        <v>0</v>
      </c>
      <c r="S27" s="11">
        <v>0</v>
      </c>
      <c r="T27" s="11">
        <v>8.9</v>
      </c>
      <c r="U27" s="11">
        <v>141.9</v>
      </c>
      <c r="V27" s="11">
        <v>212.9</v>
      </c>
      <c r="W27" s="11">
        <f t="shared" si="1"/>
        <v>117.9</v>
      </c>
    </row>
    <row r="28" spans="1:23" x14ac:dyDescent="0.25">
      <c r="A28" s="11">
        <f t="shared" si="0"/>
        <v>27</v>
      </c>
      <c r="B28" s="11">
        <v>5571</v>
      </c>
      <c r="C28" s="11" t="s">
        <v>146</v>
      </c>
      <c r="D28" s="11" t="s">
        <v>145</v>
      </c>
      <c r="E28" s="11" t="s">
        <v>135</v>
      </c>
      <c r="F28" s="11">
        <v>16</v>
      </c>
      <c r="G28" s="11">
        <v>109.6</v>
      </c>
      <c r="H28" s="11">
        <v>80</v>
      </c>
      <c r="I28" s="11">
        <v>72.7</v>
      </c>
      <c r="J28" s="11">
        <v>924</v>
      </c>
      <c r="K28" s="11">
        <v>7</v>
      </c>
      <c r="L28" s="11">
        <v>0</v>
      </c>
      <c r="M28" s="11">
        <v>8.4</v>
      </c>
      <c r="N28" s="11">
        <v>11.6</v>
      </c>
      <c r="O28" s="11">
        <v>0</v>
      </c>
      <c r="P28" s="11">
        <v>0</v>
      </c>
      <c r="Q28" s="11">
        <v>0</v>
      </c>
      <c r="R28" s="11">
        <v>1</v>
      </c>
      <c r="S28" s="11">
        <v>1</v>
      </c>
      <c r="T28" s="11">
        <v>8.3000000000000007</v>
      </c>
      <c r="U28" s="11">
        <v>132.4</v>
      </c>
      <c r="V28" s="11">
        <v>212.4</v>
      </c>
      <c r="W28" s="11">
        <f t="shared" si="1"/>
        <v>117.4</v>
      </c>
    </row>
    <row r="29" spans="1:23" x14ac:dyDescent="0.25">
      <c r="A29" s="11">
        <f t="shared" si="0"/>
        <v>28</v>
      </c>
      <c r="B29" s="11">
        <v>16232</v>
      </c>
      <c r="C29" s="11" t="s">
        <v>515</v>
      </c>
      <c r="D29" s="11" t="s">
        <v>145</v>
      </c>
      <c r="E29" s="11" t="s">
        <v>404</v>
      </c>
      <c r="F29" s="11">
        <v>16</v>
      </c>
      <c r="G29" s="11">
        <v>121.2</v>
      </c>
      <c r="H29" s="11">
        <v>73</v>
      </c>
      <c r="I29" s="11">
        <v>60.3</v>
      </c>
      <c r="J29" s="11">
        <v>958</v>
      </c>
      <c r="K29" s="11">
        <v>7</v>
      </c>
      <c r="L29" s="11">
        <v>0</v>
      </c>
      <c r="M29" s="11">
        <v>7.9</v>
      </c>
      <c r="N29" s="11">
        <v>13.1</v>
      </c>
      <c r="O29" s="11">
        <v>0</v>
      </c>
      <c r="P29" s="11">
        <v>0</v>
      </c>
      <c r="Q29" s="11">
        <v>0</v>
      </c>
      <c r="R29" s="11">
        <v>0</v>
      </c>
      <c r="S29" s="11">
        <v>0</v>
      </c>
      <c r="T29" s="11">
        <v>8.6</v>
      </c>
      <c r="U29" s="11">
        <v>137.80000000000001</v>
      </c>
      <c r="V29" s="11">
        <v>210.8</v>
      </c>
      <c r="W29" s="11">
        <f t="shared" si="1"/>
        <v>115.80000000000001</v>
      </c>
    </row>
    <row r="30" spans="1:23" x14ac:dyDescent="0.25">
      <c r="A30" s="11">
        <f t="shared" si="0"/>
        <v>29</v>
      </c>
      <c r="B30" s="11">
        <v>16550</v>
      </c>
      <c r="C30" s="11" t="s">
        <v>238</v>
      </c>
      <c r="D30" s="11" t="s">
        <v>145</v>
      </c>
      <c r="E30" s="11" t="s">
        <v>176</v>
      </c>
      <c r="F30" s="11">
        <v>16</v>
      </c>
      <c r="G30" s="11">
        <v>117.6</v>
      </c>
      <c r="H30" s="11">
        <v>68</v>
      </c>
      <c r="I30" s="11">
        <v>57.6</v>
      </c>
      <c r="J30" s="11">
        <v>929</v>
      </c>
      <c r="K30" s="11">
        <v>8</v>
      </c>
      <c r="L30" s="11">
        <v>0</v>
      </c>
      <c r="M30" s="11">
        <v>7.9</v>
      </c>
      <c r="N30" s="11">
        <v>13.7</v>
      </c>
      <c r="O30" s="11">
        <v>0.3</v>
      </c>
      <c r="P30" s="11">
        <v>1</v>
      </c>
      <c r="Q30" s="11">
        <v>0</v>
      </c>
      <c r="R30" s="11">
        <v>1</v>
      </c>
      <c r="S30" s="11">
        <v>1</v>
      </c>
      <c r="T30" s="11">
        <v>8.6999999999999993</v>
      </c>
      <c r="U30" s="11">
        <v>139</v>
      </c>
      <c r="V30" s="11">
        <v>207</v>
      </c>
      <c r="W30" s="11">
        <f t="shared" si="1"/>
        <v>112</v>
      </c>
    </row>
    <row r="31" spans="1:23" x14ac:dyDescent="0.25">
      <c r="A31" s="11">
        <f t="shared" si="0"/>
        <v>30</v>
      </c>
      <c r="B31" s="11">
        <v>16640</v>
      </c>
      <c r="C31" s="11" t="s">
        <v>147</v>
      </c>
      <c r="D31" s="11" t="s">
        <v>145</v>
      </c>
      <c r="E31" s="11" t="s">
        <v>135</v>
      </c>
      <c r="F31" s="11">
        <v>16</v>
      </c>
      <c r="G31" s="11">
        <v>116.6</v>
      </c>
      <c r="H31" s="11">
        <v>67</v>
      </c>
      <c r="I31" s="11">
        <v>57.3</v>
      </c>
      <c r="J31" s="11">
        <v>986</v>
      </c>
      <c r="K31" s="11">
        <v>7</v>
      </c>
      <c r="L31" s="11">
        <v>0</v>
      </c>
      <c r="M31" s="11">
        <v>8.4</v>
      </c>
      <c r="N31" s="11">
        <v>14.7</v>
      </c>
      <c r="O31" s="11">
        <v>1</v>
      </c>
      <c r="P31" s="11">
        <v>6</v>
      </c>
      <c r="Q31" s="11">
        <v>0</v>
      </c>
      <c r="R31" s="11">
        <v>1</v>
      </c>
      <c r="S31" s="11">
        <v>1</v>
      </c>
      <c r="T31" s="11">
        <v>8.6999999999999993</v>
      </c>
      <c r="U31" s="11">
        <v>139.19999999999999</v>
      </c>
      <c r="V31" s="11">
        <v>206.2</v>
      </c>
      <c r="W31" s="11">
        <f t="shared" si="1"/>
        <v>111.19999999999999</v>
      </c>
    </row>
    <row r="32" spans="1:23" x14ac:dyDescent="0.25">
      <c r="A32" s="11">
        <f t="shared" si="0"/>
        <v>31</v>
      </c>
      <c r="B32" s="11">
        <v>16253</v>
      </c>
      <c r="C32" s="11" t="s">
        <v>521</v>
      </c>
      <c r="D32" s="11" t="s">
        <v>145</v>
      </c>
      <c r="E32" s="11" t="s">
        <v>408</v>
      </c>
      <c r="F32" s="11">
        <v>16</v>
      </c>
      <c r="G32" s="11">
        <v>102.3</v>
      </c>
      <c r="H32" s="11">
        <v>62</v>
      </c>
      <c r="I32" s="11">
        <v>60.8</v>
      </c>
      <c r="J32" s="11">
        <v>898</v>
      </c>
      <c r="K32" s="11">
        <v>7</v>
      </c>
      <c r="L32" s="11">
        <v>0</v>
      </c>
      <c r="M32" s="11">
        <v>8.8000000000000007</v>
      </c>
      <c r="N32" s="11">
        <v>14.5</v>
      </c>
      <c r="O32" s="11">
        <v>0</v>
      </c>
      <c r="P32" s="11">
        <v>0</v>
      </c>
      <c r="Q32" s="11">
        <v>0</v>
      </c>
      <c r="R32" s="11">
        <v>1</v>
      </c>
      <c r="S32" s="11">
        <v>1</v>
      </c>
      <c r="T32" s="11">
        <v>8.1</v>
      </c>
      <c r="U32" s="11">
        <v>129.80000000000001</v>
      </c>
      <c r="V32" s="11">
        <v>191.8</v>
      </c>
      <c r="W32" s="11">
        <f t="shared" si="1"/>
        <v>96.800000000000011</v>
      </c>
    </row>
    <row r="33" spans="1:23" x14ac:dyDescent="0.25">
      <c r="A33" s="11">
        <f t="shared" si="0"/>
        <v>32</v>
      </c>
      <c r="B33" s="11">
        <v>11063</v>
      </c>
      <c r="C33" s="11" t="s">
        <v>356</v>
      </c>
      <c r="D33" s="11" t="s">
        <v>145</v>
      </c>
      <c r="E33" s="11" t="s">
        <v>292</v>
      </c>
      <c r="F33" s="11">
        <v>16</v>
      </c>
      <c r="G33" s="11">
        <v>97.2</v>
      </c>
      <c r="H33" s="11">
        <v>67</v>
      </c>
      <c r="I33" s="11">
        <v>69.099999999999994</v>
      </c>
      <c r="J33" s="11">
        <v>916</v>
      </c>
      <c r="K33" s="11">
        <v>5</v>
      </c>
      <c r="L33" s="11">
        <v>0</v>
      </c>
      <c r="M33" s="11">
        <v>9.4</v>
      </c>
      <c r="N33" s="11">
        <v>13.7</v>
      </c>
      <c r="O33" s="11">
        <v>4</v>
      </c>
      <c r="P33" s="11">
        <v>22</v>
      </c>
      <c r="Q33" s="11">
        <v>0</v>
      </c>
      <c r="R33" s="11">
        <v>1</v>
      </c>
      <c r="S33" s="11">
        <v>1</v>
      </c>
      <c r="T33" s="11">
        <v>7.6</v>
      </c>
      <c r="U33" s="11">
        <v>121.8</v>
      </c>
      <c r="V33" s="11">
        <v>188.79999999999998</v>
      </c>
      <c r="W33" s="11">
        <f t="shared" si="1"/>
        <v>93.799999999999983</v>
      </c>
    </row>
    <row r="34" spans="1:23" x14ac:dyDescent="0.25">
      <c r="A34" s="11">
        <f t="shared" si="0"/>
        <v>33</v>
      </c>
      <c r="B34" s="11">
        <v>9331</v>
      </c>
      <c r="C34" s="11" t="s">
        <v>711</v>
      </c>
      <c r="D34" s="11" t="s">
        <v>145</v>
      </c>
      <c r="E34" s="11" t="s">
        <v>644</v>
      </c>
      <c r="F34" s="11">
        <v>16</v>
      </c>
      <c r="G34" s="11">
        <v>108.6</v>
      </c>
      <c r="H34" s="11">
        <v>71</v>
      </c>
      <c r="I34" s="11">
        <v>65.099999999999994</v>
      </c>
      <c r="J34" s="11">
        <v>806</v>
      </c>
      <c r="K34" s="11">
        <v>6</v>
      </c>
      <c r="L34" s="11">
        <v>0</v>
      </c>
      <c r="M34" s="11">
        <v>7.4</v>
      </c>
      <c r="N34" s="11">
        <v>11.4</v>
      </c>
      <c r="O34" s="11">
        <v>1</v>
      </c>
      <c r="P34" s="11">
        <v>4</v>
      </c>
      <c r="Q34" s="11">
        <v>0</v>
      </c>
      <c r="R34" s="11">
        <v>0</v>
      </c>
      <c r="S34" s="11">
        <v>0</v>
      </c>
      <c r="T34" s="11">
        <v>7.3</v>
      </c>
      <c r="U34" s="11">
        <v>117</v>
      </c>
      <c r="V34" s="11">
        <v>188</v>
      </c>
      <c r="W34" s="11">
        <f t="shared" si="1"/>
        <v>93</v>
      </c>
    </row>
    <row r="35" spans="1:23" x14ac:dyDescent="0.25">
      <c r="A35" s="11">
        <f t="shared" si="0"/>
        <v>34</v>
      </c>
      <c r="B35" s="11">
        <v>16775</v>
      </c>
      <c r="C35" s="11" t="s">
        <v>546</v>
      </c>
      <c r="D35" s="11" t="s">
        <v>145</v>
      </c>
      <c r="E35" s="11" t="s">
        <v>421</v>
      </c>
      <c r="F35" s="11">
        <v>16</v>
      </c>
      <c r="G35" s="11">
        <v>90</v>
      </c>
      <c r="H35" s="11">
        <v>60</v>
      </c>
      <c r="I35" s="11">
        <v>66.7</v>
      </c>
      <c r="J35" s="11">
        <v>861</v>
      </c>
      <c r="K35" s="11">
        <v>6</v>
      </c>
      <c r="L35" s="11">
        <v>0</v>
      </c>
      <c r="M35" s="11">
        <v>9.6</v>
      </c>
      <c r="N35" s="11">
        <v>14.4</v>
      </c>
      <c r="O35" s="11">
        <v>0.3</v>
      </c>
      <c r="P35" s="11">
        <v>1</v>
      </c>
      <c r="Q35" s="11">
        <v>0</v>
      </c>
      <c r="R35" s="11">
        <v>0</v>
      </c>
      <c r="S35" s="11">
        <v>0</v>
      </c>
      <c r="T35" s="11">
        <v>7.6</v>
      </c>
      <c r="U35" s="11">
        <v>122.2</v>
      </c>
      <c r="V35" s="11">
        <v>182.2</v>
      </c>
      <c r="W35" s="11">
        <f t="shared" si="1"/>
        <v>87.199999999999989</v>
      </c>
    </row>
    <row r="36" spans="1:23" x14ac:dyDescent="0.25">
      <c r="A36" s="11">
        <f t="shared" si="0"/>
        <v>35</v>
      </c>
      <c r="B36" s="11">
        <v>13870</v>
      </c>
      <c r="C36" s="11" t="s">
        <v>493</v>
      </c>
      <c r="D36" s="11" t="s">
        <v>145</v>
      </c>
      <c r="E36" s="11" t="s">
        <v>393</v>
      </c>
      <c r="F36" s="11">
        <v>16</v>
      </c>
      <c r="G36" s="11">
        <v>105.8</v>
      </c>
      <c r="H36" s="11">
        <v>63</v>
      </c>
      <c r="I36" s="11">
        <v>59.4</v>
      </c>
      <c r="J36" s="11">
        <v>826</v>
      </c>
      <c r="K36" s="11">
        <v>6</v>
      </c>
      <c r="L36" s="11">
        <v>0</v>
      </c>
      <c r="M36" s="11">
        <v>7.8</v>
      </c>
      <c r="N36" s="11">
        <v>13.1</v>
      </c>
      <c r="O36" s="11">
        <v>1</v>
      </c>
      <c r="P36" s="11">
        <v>2</v>
      </c>
      <c r="Q36" s="11">
        <v>0</v>
      </c>
      <c r="R36" s="11">
        <v>0</v>
      </c>
      <c r="S36" s="11">
        <v>0</v>
      </c>
      <c r="T36" s="11">
        <v>7.4</v>
      </c>
      <c r="U36" s="11">
        <v>118.8</v>
      </c>
      <c r="V36" s="11">
        <v>181.79999999999998</v>
      </c>
      <c r="W36" s="11">
        <f t="shared" si="1"/>
        <v>86.799999999999983</v>
      </c>
    </row>
    <row r="37" spans="1:23" x14ac:dyDescent="0.25">
      <c r="A37" s="11">
        <f t="shared" si="0"/>
        <v>36</v>
      </c>
      <c r="B37" s="11">
        <v>16830</v>
      </c>
      <c r="C37" s="11" t="s">
        <v>830</v>
      </c>
      <c r="D37" s="11" t="s">
        <v>145</v>
      </c>
      <c r="E37" s="11" t="s">
        <v>772</v>
      </c>
      <c r="F37" s="11">
        <v>16</v>
      </c>
      <c r="G37" s="11">
        <v>83.6</v>
      </c>
      <c r="H37" s="11">
        <v>61</v>
      </c>
      <c r="I37" s="11">
        <v>72.599999999999994</v>
      </c>
      <c r="J37" s="11">
        <v>819</v>
      </c>
      <c r="K37" s="11">
        <v>6</v>
      </c>
      <c r="L37" s="11">
        <v>0</v>
      </c>
      <c r="M37" s="11">
        <v>9.8000000000000007</v>
      </c>
      <c r="N37" s="11">
        <v>13.4</v>
      </c>
      <c r="O37" s="11">
        <v>6</v>
      </c>
      <c r="P37" s="11">
        <v>31</v>
      </c>
      <c r="Q37" s="11">
        <v>0</v>
      </c>
      <c r="R37" s="11">
        <v>1</v>
      </c>
      <c r="S37" s="11">
        <v>1</v>
      </c>
      <c r="T37" s="11">
        <v>7.4</v>
      </c>
      <c r="U37" s="11">
        <v>119</v>
      </c>
      <c r="V37" s="11">
        <v>180</v>
      </c>
      <c r="W37" s="11">
        <f t="shared" si="1"/>
        <v>85</v>
      </c>
    </row>
    <row r="38" spans="1:23" x14ac:dyDescent="0.25">
      <c r="A38" s="11">
        <f t="shared" si="0"/>
        <v>37</v>
      </c>
      <c r="B38" s="11">
        <v>3943</v>
      </c>
      <c r="C38" s="11" t="s">
        <v>859</v>
      </c>
      <c r="D38" s="11" t="s">
        <v>145</v>
      </c>
      <c r="E38" s="11" t="s">
        <v>787</v>
      </c>
      <c r="F38" s="11">
        <v>16</v>
      </c>
      <c r="G38" s="11">
        <v>89.1</v>
      </c>
      <c r="H38" s="11">
        <v>55</v>
      </c>
      <c r="I38" s="11">
        <v>61.8</v>
      </c>
      <c r="J38" s="11">
        <v>896</v>
      </c>
      <c r="K38" s="11">
        <v>6</v>
      </c>
      <c r="L38" s="11">
        <v>0</v>
      </c>
      <c r="M38" s="11">
        <v>10.1</v>
      </c>
      <c r="N38" s="11">
        <v>16.3</v>
      </c>
      <c r="O38" s="11">
        <v>2</v>
      </c>
      <c r="P38" s="11">
        <v>12</v>
      </c>
      <c r="Q38" s="11">
        <v>0</v>
      </c>
      <c r="R38" s="11">
        <v>1</v>
      </c>
      <c r="S38" s="11">
        <v>1</v>
      </c>
      <c r="T38" s="11">
        <v>7.8</v>
      </c>
      <c r="U38" s="11">
        <v>124.8</v>
      </c>
      <c r="V38" s="11">
        <v>179.79999999999998</v>
      </c>
      <c r="W38" s="11">
        <f t="shared" si="1"/>
        <v>84.799999999999983</v>
      </c>
    </row>
    <row r="39" spans="1:23" x14ac:dyDescent="0.25">
      <c r="A39" s="11">
        <f t="shared" si="0"/>
        <v>38</v>
      </c>
      <c r="B39" s="11">
        <v>16768</v>
      </c>
      <c r="C39" s="11" t="s">
        <v>324</v>
      </c>
      <c r="D39" s="11" t="s">
        <v>145</v>
      </c>
      <c r="E39" s="11" t="s">
        <v>273</v>
      </c>
      <c r="F39" s="11">
        <v>16</v>
      </c>
      <c r="G39" s="11">
        <v>98.5</v>
      </c>
      <c r="H39" s="11">
        <v>59</v>
      </c>
      <c r="I39" s="11">
        <v>59.6</v>
      </c>
      <c r="J39" s="11">
        <v>839</v>
      </c>
      <c r="K39" s="11">
        <v>6</v>
      </c>
      <c r="L39" s="11">
        <v>0</v>
      </c>
      <c r="M39" s="11">
        <v>8.5</v>
      </c>
      <c r="N39" s="11">
        <v>14.2</v>
      </c>
      <c r="O39" s="11">
        <v>0</v>
      </c>
      <c r="P39" s="11">
        <v>0</v>
      </c>
      <c r="Q39" s="11">
        <v>0</v>
      </c>
      <c r="R39" s="11">
        <v>0</v>
      </c>
      <c r="S39" s="11">
        <v>0</v>
      </c>
      <c r="T39" s="11">
        <v>7.5</v>
      </c>
      <c r="U39" s="11">
        <v>119.9</v>
      </c>
      <c r="V39" s="11">
        <v>178.9</v>
      </c>
      <c r="W39" s="11">
        <f t="shared" si="1"/>
        <v>83.9</v>
      </c>
    </row>
    <row r="40" spans="1:23" x14ac:dyDescent="0.25">
      <c r="A40" s="11">
        <f t="shared" si="0"/>
        <v>39</v>
      </c>
      <c r="B40" s="11">
        <v>12830</v>
      </c>
      <c r="C40" s="11" t="s">
        <v>836</v>
      </c>
      <c r="D40" s="11" t="s">
        <v>145</v>
      </c>
      <c r="E40" s="11" t="s">
        <v>774</v>
      </c>
      <c r="F40" s="11">
        <v>16</v>
      </c>
      <c r="G40" s="11">
        <v>89.7</v>
      </c>
      <c r="H40" s="11">
        <v>59</v>
      </c>
      <c r="I40" s="11">
        <v>65.599999999999994</v>
      </c>
      <c r="J40" s="11">
        <v>888</v>
      </c>
      <c r="K40" s="11">
        <v>5</v>
      </c>
      <c r="L40" s="11">
        <v>0</v>
      </c>
      <c r="M40" s="11">
        <v>9.9</v>
      </c>
      <c r="N40" s="11">
        <v>15.1</v>
      </c>
      <c r="O40" s="11">
        <v>0</v>
      </c>
      <c r="P40" s="11">
        <v>0</v>
      </c>
      <c r="Q40" s="11">
        <v>0</v>
      </c>
      <c r="R40" s="11">
        <v>0</v>
      </c>
      <c r="S40" s="11">
        <v>0</v>
      </c>
      <c r="T40" s="11">
        <v>7.4</v>
      </c>
      <c r="U40" s="11">
        <v>118.8</v>
      </c>
      <c r="V40" s="11">
        <v>177.8</v>
      </c>
      <c r="W40" s="11">
        <f t="shared" si="1"/>
        <v>82.800000000000011</v>
      </c>
    </row>
    <row r="41" spans="1:23" x14ac:dyDescent="0.25">
      <c r="A41" s="11">
        <f t="shared" si="0"/>
        <v>40</v>
      </c>
      <c r="B41" s="11">
        <v>16141</v>
      </c>
      <c r="C41" s="11" t="s">
        <v>690</v>
      </c>
      <c r="D41" s="11" t="s">
        <v>145</v>
      </c>
      <c r="E41" s="11" t="s">
        <v>631</v>
      </c>
      <c r="F41" s="11">
        <v>16</v>
      </c>
      <c r="G41" s="11">
        <v>90.4</v>
      </c>
      <c r="H41" s="11">
        <v>65</v>
      </c>
      <c r="I41" s="11">
        <v>72.2</v>
      </c>
      <c r="J41" s="11">
        <v>854</v>
      </c>
      <c r="K41" s="11">
        <v>5</v>
      </c>
      <c r="L41" s="11">
        <v>0</v>
      </c>
      <c r="M41" s="11">
        <v>9.5</v>
      </c>
      <c r="N41" s="11">
        <v>13.1</v>
      </c>
      <c r="O41" s="11">
        <v>0</v>
      </c>
      <c r="P41" s="11">
        <v>0</v>
      </c>
      <c r="Q41" s="11">
        <v>0</v>
      </c>
      <c r="R41" s="11">
        <v>2</v>
      </c>
      <c r="S41" s="11">
        <v>2</v>
      </c>
      <c r="T41" s="11">
        <v>7</v>
      </c>
      <c r="U41" s="11">
        <v>111.4</v>
      </c>
      <c r="V41" s="11">
        <v>176.4</v>
      </c>
      <c r="W41" s="11">
        <f t="shared" si="1"/>
        <v>81.400000000000006</v>
      </c>
    </row>
    <row r="42" spans="1:23" x14ac:dyDescent="0.25">
      <c r="A42" s="11">
        <f t="shared" si="0"/>
        <v>41</v>
      </c>
      <c r="B42" s="11">
        <v>16906</v>
      </c>
      <c r="C42" s="11" t="s">
        <v>552</v>
      </c>
      <c r="D42" s="11" t="s">
        <v>145</v>
      </c>
      <c r="E42" s="11" t="s">
        <v>426</v>
      </c>
      <c r="F42" s="11">
        <v>16</v>
      </c>
      <c r="G42" s="11">
        <v>103.2</v>
      </c>
      <c r="H42" s="11">
        <v>60</v>
      </c>
      <c r="I42" s="11">
        <v>58.3</v>
      </c>
      <c r="J42" s="11">
        <v>800</v>
      </c>
      <c r="K42" s="11">
        <v>5</v>
      </c>
      <c r="L42" s="11">
        <v>0</v>
      </c>
      <c r="M42" s="11">
        <v>7.8</v>
      </c>
      <c r="N42" s="11">
        <v>13.3</v>
      </c>
      <c r="O42" s="11">
        <v>1</v>
      </c>
      <c r="P42" s="11">
        <v>6</v>
      </c>
      <c r="Q42" s="11">
        <v>0</v>
      </c>
      <c r="R42" s="11">
        <v>0</v>
      </c>
      <c r="S42" s="11">
        <v>0</v>
      </c>
      <c r="T42" s="11">
        <v>6.9</v>
      </c>
      <c r="U42" s="11">
        <v>110.6</v>
      </c>
      <c r="V42" s="11">
        <v>170.6</v>
      </c>
      <c r="W42" s="11">
        <f t="shared" si="1"/>
        <v>75.599999999999994</v>
      </c>
    </row>
    <row r="43" spans="1:23" x14ac:dyDescent="0.25">
      <c r="A43" s="11">
        <f t="shared" si="0"/>
        <v>42</v>
      </c>
      <c r="B43" s="11">
        <v>3519</v>
      </c>
      <c r="C43" s="11" t="s">
        <v>844</v>
      </c>
      <c r="D43" s="11" t="s">
        <v>145</v>
      </c>
      <c r="E43" s="11" t="s">
        <v>779</v>
      </c>
      <c r="F43" s="11">
        <v>16</v>
      </c>
      <c r="G43" s="11">
        <v>75.400000000000006</v>
      </c>
      <c r="H43" s="11">
        <v>55</v>
      </c>
      <c r="I43" s="11">
        <v>73.3</v>
      </c>
      <c r="J43" s="11">
        <v>818</v>
      </c>
      <c r="K43" s="11">
        <v>5</v>
      </c>
      <c r="L43" s="11">
        <v>0</v>
      </c>
      <c r="M43" s="11">
        <v>10.9</v>
      </c>
      <c r="N43" s="11">
        <v>14.9</v>
      </c>
      <c r="O43" s="11">
        <v>0</v>
      </c>
      <c r="P43" s="11">
        <v>0</v>
      </c>
      <c r="Q43" s="11">
        <v>0</v>
      </c>
      <c r="R43" s="11">
        <v>0</v>
      </c>
      <c r="S43" s="11">
        <v>0</v>
      </c>
      <c r="T43" s="11">
        <v>7</v>
      </c>
      <c r="U43" s="11">
        <v>111.8</v>
      </c>
      <c r="V43" s="11">
        <v>166.8</v>
      </c>
      <c r="W43" s="11">
        <f t="shared" si="1"/>
        <v>71.800000000000011</v>
      </c>
    </row>
    <row r="44" spans="1:23" x14ac:dyDescent="0.25">
      <c r="A44" s="11">
        <f t="shared" si="0"/>
        <v>43</v>
      </c>
      <c r="B44" s="11">
        <v>15215</v>
      </c>
      <c r="C44" s="11" t="s">
        <v>538</v>
      </c>
      <c r="D44" s="11" t="s">
        <v>145</v>
      </c>
      <c r="E44" s="11" t="s">
        <v>417</v>
      </c>
      <c r="F44" s="11">
        <v>16</v>
      </c>
      <c r="G44" s="11">
        <v>83.1</v>
      </c>
      <c r="H44" s="11">
        <v>55</v>
      </c>
      <c r="I44" s="11">
        <v>66.3</v>
      </c>
      <c r="J44" s="11">
        <v>538</v>
      </c>
      <c r="K44" s="11">
        <v>4</v>
      </c>
      <c r="L44" s="11">
        <v>0</v>
      </c>
      <c r="M44" s="11">
        <v>6.5</v>
      </c>
      <c r="N44" s="11">
        <v>9.8000000000000007</v>
      </c>
      <c r="O44" s="11">
        <v>37</v>
      </c>
      <c r="P44" s="11">
        <v>238</v>
      </c>
      <c r="Q44" s="11">
        <v>2</v>
      </c>
      <c r="R44" s="11">
        <v>1</v>
      </c>
      <c r="S44" s="11">
        <v>1</v>
      </c>
      <c r="T44" s="11">
        <v>7</v>
      </c>
      <c r="U44" s="11">
        <v>111.6</v>
      </c>
      <c r="V44" s="11">
        <v>166.60000000000002</v>
      </c>
      <c r="W44" s="11">
        <f t="shared" si="1"/>
        <v>71.600000000000023</v>
      </c>
    </row>
    <row r="45" spans="1:23" x14ac:dyDescent="0.25">
      <c r="A45" s="11">
        <f t="shared" si="0"/>
        <v>44</v>
      </c>
      <c r="B45" s="11">
        <v>17938</v>
      </c>
      <c r="C45" s="11" t="s">
        <v>338</v>
      </c>
      <c r="D45" s="11" t="s">
        <v>145</v>
      </c>
      <c r="E45" s="11" t="s">
        <v>283</v>
      </c>
      <c r="F45" s="11">
        <v>16</v>
      </c>
      <c r="G45" s="11">
        <v>105.6</v>
      </c>
      <c r="H45" s="11">
        <v>59</v>
      </c>
      <c r="I45" s="11">
        <v>55.7</v>
      </c>
      <c r="J45" s="11">
        <v>760</v>
      </c>
      <c r="K45" s="11">
        <v>5</v>
      </c>
      <c r="L45" s="11">
        <v>0</v>
      </c>
      <c r="M45" s="11">
        <v>7.2</v>
      </c>
      <c r="N45" s="11">
        <v>12.9</v>
      </c>
      <c r="O45" s="11">
        <v>1</v>
      </c>
      <c r="P45" s="11">
        <v>4</v>
      </c>
      <c r="Q45" s="11">
        <v>0</v>
      </c>
      <c r="R45" s="11">
        <v>1</v>
      </c>
      <c r="S45" s="11">
        <v>1</v>
      </c>
      <c r="T45" s="11">
        <v>6.5</v>
      </c>
      <c r="U45" s="11">
        <v>104.4</v>
      </c>
      <c r="V45" s="11">
        <v>163.4</v>
      </c>
      <c r="W45" s="11">
        <f t="shared" si="1"/>
        <v>68.400000000000006</v>
      </c>
    </row>
    <row r="46" spans="1:23" x14ac:dyDescent="0.25">
      <c r="A46" s="11">
        <f t="shared" si="0"/>
        <v>45</v>
      </c>
      <c r="B46" s="11">
        <v>17961</v>
      </c>
      <c r="C46" s="11" t="s">
        <v>697</v>
      </c>
      <c r="D46" s="11" t="s">
        <v>145</v>
      </c>
      <c r="E46" s="11" t="s">
        <v>635</v>
      </c>
      <c r="F46" s="11">
        <v>16</v>
      </c>
      <c r="G46" s="11">
        <v>76.7</v>
      </c>
      <c r="H46" s="11">
        <v>59</v>
      </c>
      <c r="I46" s="11">
        <v>76.599999999999994</v>
      </c>
      <c r="J46" s="11">
        <v>743</v>
      </c>
      <c r="K46" s="11">
        <v>5</v>
      </c>
      <c r="L46" s="11">
        <v>0</v>
      </c>
      <c r="M46" s="11">
        <v>9.6</v>
      </c>
      <c r="N46" s="11">
        <v>12.6</v>
      </c>
      <c r="O46" s="11">
        <v>0</v>
      </c>
      <c r="P46" s="11">
        <v>0</v>
      </c>
      <c r="Q46" s="11">
        <v>0</v>
      </c>
      <c r="R46" s="11">
        <v>1</v>
      </c>
      <c r="S46" s="11">
        <v>1</v>
      </c>
      <c r="T46" s="11">
        <v>6.4</v>
      </c>
      <c r="U46" s="11">
        <v>102.3</v>
      </c>
      <c r="V46" s="11">
        <v>161.30000000000001</v>
      </c>
      <c r="W46" s="11">
        <f t="shared" si="1"/>
        <v>66.300000000000011</v>
      </c>
    </row>
    <row r="47" spans="1:23" x14ac:dyDescent="0.25">
      <c r="A47" s="11">
        <f t="shared" si="0"/>
        <v>46</v>
      </c>
      <c r="B47" s="11">
        <v>14973</v>
      </c>
      <c r="C47" s="11" t="s">
        <v>723</v>
      </c>
      <c r="D47" s="11" t="s">
        <v>145</v>
      </c>
      <c r="E47" s="11" t="s">
        <v>648</v>
      </c>
      <c r="F47" s="11">
        <v>16</v>
      </c>
      <c r="G47" s="11">
        <v>70.2</v>
      </c>
      <c r="H47" s="11">
        <v>54</v>
      </c>
      <c r="I47" s="11">
        <v>77.099999999999994</v>
      </c>
      <c r="J47" s="11">
        <v>736</v>
      </c>
      <c r="K47" s="11">
        <v>5</v>
      </c>
      <c r="L47" s="11">
        <v>0</v>
      </c>
      <c r="M47" s="11">
        <v>10.5</v>
      </c>
      <c r="N47" s="11">
        <v>13.6</v>
      </c>
      <c r="O47" s="11">
        <v>1</v>
      </c>
      <c r="P47" s="11">
        <v>6</v>
      </c>
      <c r="Q47" s="11">
        <v>0</v>
      </c>
      <c r="R47" s="11">
        <v>1</v>
      </c>
      <c r="S47" s="11">
        <v>1</v>
      </c>
      <c r="T47" s="11">
        <v>6.4</v>
      </c>
      <c r="U47" s="11">
        <v>102.2</v>
      </c>
      <c r="V47" s="11">
        <v>156.19999999999999</v>
      </c>
      <c r="W47" s="11">
        <f t="shared" si="1"/>
        <v>61.199999999999989</v>
      </c>
    </row>
    <row r="48" spans="1:23" x14ac:dyDescent="0.25">
      <c r="A48" s="11">
        <f t="shared" si="0"/>
        <v>47</v>
      </c>
      <c r="B48" s="11">
        <v>12722</v>
      </c>
      <c r="C48" s="11" t="s">
        <v>216</v>
      </c>
      <c r="D48" s="11" t="s">
        <v>145</v>
      </c>
      <c r="E48" s="11" t="s">
        <v>167</v>
      </c>
      <c r="F48" s="11">
        <v>16</v>
      </c>
      <c r="G48" s="11">
        <v>70.7</v>
      </c>
      <c r="H48" s="11">
        <v>54</v>
      </c>
      <c r="I48" s="11">
        <v>76.099999999999994</v>
      </c>
      <c r="J48" s="11">
        <v>725</v>
      </c>
      <c r="K48" s="11">
        <v>5</v>
      </c>
      <c r="L48" s="11">
        <v>0</v>
      </c>
      <c r="M48" s="11">
        <v>10.199999999999999</v>
      </c>
      <c r="N48" s="11">
        <v>13.4</v>
      </c>
      <c r="O48" s="11">
        <v>0</v>
      </c>
      <c r="P48" s="11">
        <v>0</v>
      </c>
      <c r="Q48" s="11">
        <v>0</v>
      </c>
      <c r="R48" s="11">
        <v>1</v>
      </c>
      <c r="S48" s="11">
        <v>1</v>
      </c>
      <c r="T48" s="11">
        <v>6.3</v>
      </c>
      <c r="U48" s="11">
        <v>100.5</v>
      </c>
      <c r="V48" s="11">
        <v>154.5</v>
      </c>
      <c r="W48" s="11">
        <f t="shared" si="1"/>
        <v>59.5</v>
      </c>
    </row>
    <row r="49" spans="1:23" x14ac:dyDescent="0.25">
      <c r="A49" s="11">
        <f t="shared" si="0"/>
        <v>48</v>
      </c>
      <c r="B49" s="11">
        <v>13887</v>
      </c>
      <c r="C49" s="11" t="s">
        <v>823</v>
      </c>
      <c r="D49" s="11" t="s">
        <v>145</v>
      </c>
      <c r="E49" s="11" t="s">
        <v>768</v>
      </c>
      <c r="F49" s="11">
        <v>16</v>
      </c>
      <c r="G49" s="11">
        <v>82.6</v>
      </c>
      <c r="H49" s="11">
        <v>51</v>
      </c>
      <c r="I49" s="11">
        <v>61.4</v>
      </c>
      <c r="J49" s="11">
        <v>746</v>
      </c>
      <c r="K49" s="11">
        <v>5</v>
      </c>
      <c r="L49" s="11">
        <v>0</v>
      </c>
      <c r="M49" s="11">
        <v>9</v>
      </c>
      <c r="N49" s="11">
        <v>14.6</v>
      </c>
      <c r="O49" s="11">
        <v>0.5</v>
      </c>
      <c r="P49" s="11">
        <v>2</v>
      </c>
      <c r="Q49" s="11">
        <v>0</v>
      </c>
      <c r="R49" s="11">
        <v>1</v>
      </c>
      <c r="S49" s="11">
        <v>1</v>
      </c>
      <c r="T49" s="11">
        <v>6.4</v>
      </c>
      <c r="U49" s="11">
        <v>102.8</v>
      </c>
      <c r="V49" s="11">
        <v>153.79999999999998</v>
      </c>
      <c r="W49" s="11">
        <f t="shared" si="1"/>
        <v>58.799999999999983</v>
      </c>
    </row>
    <row r="50" spans="1:23" x14ac:dyDescent="0.25">
      <c r="A50" s="11">
        <f t="shared" si="0"/>
        <v>49</v>
      </c>
      <c r="B50" s="11">
        <v>14587</v>
      </c>
      <c r="C50" s="11" t="s">
        <v>339</v>
      </c>
      <c r="D50" s="11" t="s">
        <v>145</v>
      </c>
      <c r="E50" s="11" t="s">
        <v>283</v>
      </c>
      <c r="F50" s="11">
        <v>16</v>
      </c>
      <c r="G50" s="11">
        <v>73.5</v>
      </c>
      <c r="H50" s="11">
        <v>50</v>
      </c>
      <c r="I50" s="11">
        <v>67.599999999999994</v>
      </c>
      <c r="J50" s="11">
        <v>701</v>
      </c>
      <c r="K50" s="11">
        <v>5</v>
      </c>
      <c r="L50" s="11">
        <v>0</v>
      </c>
      <c r="M50" s="11">
        <v>9.5</v>
      </c>
      <c r="N50" s="11">
        <v>14</v>
      </c>
      <c r="O50" s="11">
        <v>0</v>
      </c>
      <c r="P50" s="11">
        <v>0</v>
      </c>
      <c r="Q50" s="11">
        <v>0</v>
      </c>
      <c r="R50" s="11">
        <v>0</v>
      </c>
      <c r="S50" s="11">
        <v>0</v>
      </c>
      <c r="T50" s="11">
        <v>6.3</v>
      </c>
      <c r="U50" s="11">
        <v>100.1</v>
      </c>
      <c r="V50" s="11">
        <v>150.1</v>
      </c>
      <c r="W50" s="11">
        <f t="shared" si="1"/>
        <v>55.099999999999994</v>
      </c>
    </row>
    <row r="51" spans="1:23" x14ac:dyDescent="0.25">
      <c r="A51">
        <f t="shared" si="0"/>
        <v>50</v>
      </c>
      <c r="B51">
        <v>6767</v>
      </c>
      <c r="C51" t="s">
        <v>860</v>
      </c>
      <c r="D51" t="s">
        <v>145</v>
      </c>
      <c r="E51" t="s">
        <v>787</v>
      </c>
      <c r="F51">
        <v>16</v>
      </c>
      <c r="G51">
        <v>103.2</v>
      </c>
      <c r="H51">
        <v>58</v>
      </c>
      <c r="I51">
        <v>56.3</v>
      </c>
      <c r="J51">
        <v>657</v>
      </c>
      <c r="K51">
        <v>4</v>
      </c>
      <c r="L51">
        <v>0</v>
      </c>
      <c r="M51">
        <v>6.4</v>
      </c>
      <c r="N51">
        <v>11.3</v>
      </c>
      <c r="O51">
        <v>0</v>
      </c>
      <c r="P51">
        <v>0</v>
      </c>
      <c r="Q51">
        <v>0</v>
      </c>
      <c r="R51">
        <v>0</v>
      </c>
      <c r="S51">
        <v>0</v>
      </c>
      <c r="T51">
        <v>5.6</v>
      </c>
      <c r="U51">
        <v>89.7</v>
      </c>
      <c r="V51">
        <v>147.69999999999999</v>
      </c>
      <c r="W51">
        <f t="shared" si="1"/>
        <v>52.699999999999989</v>
      </c>
    </row>
    <row r="52" spans="1:23" x14ac:dyDescent="0.25">
      <c r="A52" s="11">
        <f t="shared" si="0"/>
        <v>51</v>
      </c>
      <c r="B52" s="11">
        <v>13878</v>
      </c>
      <c r="C52" s="11" t="s">
        <v>208</v>
      </c>
      <c r="D52" s="11" t="s">
        <v>145</v>
      </c>
      <c r="E52" s="11" t="s">
        <v>162</v>
      </c>
      <c r="F52" s="11">
        <v>16</v>
      </c>
      <c r="G52" s="11">
        <v>95.6</v>
      </c>
      <c r="H52" s="11">
        <v>54</v>
      </c>
      <c r="I52" s="11">
        <v>56.2</v>
      </c>
      <c r="J52" s="11">
        <v>655</v>
      </c>
      <c r="K52" s="11">
        <v>4</v>
      </c>
      <c r="L52" s="11">
        <v>0</v>
      </c>
      <c r="M52" s="11">
        <v>6.8</v>
      </c>
      <c r="N52" s="11">
        <v>12.1</v>
      </c>
      <c r="O52" s="11">
        <v>1</v>
      </c>
      <c r="P52" s="11">
        <v>9</v>
      </c>
      <c r="Q52" s="11">
        <v>0</v>
      </c>
      <c r="R52" s="11">
        <v>0</v>
      </c>
      <c r="S52" s="11">
        <v>0</v>
      </c>
      <c r="T52" s="11">
        <v>5.6</v>
      </c>
      <c r="U52" s="11">
        <v>90.4</v>
      </c>
      <c r="V52" s="11">
        <v>144.4</v>
      </c>
      <c r="W52" s="11">
        <f t="shared" si="1"/>
        <v>49.400000000000006</v>
      </c>
    </row>
    <row r="53" spans="1:23" x14ac:dyDescent="0.25">
      <c r="A53" s="11">
        <f t="shared" si="0"/>
        <v>52</v>
      </c>
      <c r="B53" s="11">
        <v>17914</v>
      </c>
      <c r="C53" s="11" t="s">
        <v>553</v>
      </c>
      <c r="D53" s="11" t="s">
        <v>145</v>
      </c>
      <c r="E53" s="11" t="s">
        <v>426</v>
      </c>
      <c r="F53" s="11">
        <v>16</v>
      </c>
      <c r="G53" s="11">
        <v>76</v>
      </c>
      <c r="H53" s="11">
        <v>50</v>
      </c>
      <c r="I53" s="11">
        <v>65.8</v>
      </c>
      <c r="J53" s="11">
        <v>638</v>
      </c>
      <c r="K53" s="11">
        <v>5</v>
      </c>
      <c r="L53" s="11">
        <v>0</v>
      </c>
      <c r="M53" s="11">
        <v>8.4</v>
      </c>
      <c r="N53" s="11">
        <v>12.8</v>
      </c>
      <c r="O53" s="11">
        <v>0.3</v>
      </c>
      <c r="P53" s="11">
        <v>1</v>
      </c>
      <c r="Q53" s="11">
        <v>0</v>
      </c>
      <c r="R53" s="11">
        <v>0</v>
      </c>
      <c r="S53" s="11">
        <v>0</v>
      </c>
      <c r="T53" s="11">
        <v>5.9</v>
      </c>
      <c r="U53" s="11">
        <v>93.9</v>
      </c>
      <c r="V53" s="11">
        <v>143.9</v>
      </c>
      <c r="W53" s="11">
        <f t="shared" si="1"/>
        <v>48.900000000000006</v>
      </c>
    </row>
    <row r="54" spans="1:23" x14ac:dyDescent="0.25">
      <c r="A54">
        <f t="shared" si="0"/>
        <v>53</v>
      </c>
      <c r="B54">
        <v>15088</v>
      </c>
      <c r="C54" t="s">
        <v>349</v>
      </c>
      <c r="D54" t="s">
        <v>145</v>
      </c>
      <c r="E54" t="s">
        <v>288</v>
      </c>
      <c r="F54">
        <v>16</v>
      </c>
      <c r="G54">
        <v>58.5</v>
      </c>
      <c r="H54">
        <v>44</v>
      </c>
      <c r="I54">
        <v>74.599999999999994</v>
      </c>
      <c r="J54">
        <v>692</v>
      </c>
      <c r="K54">
        <v>5</v>
      </c>
      <c r="L54">
        <v>0</v>
      </c>
      <c r="M54">
        <v>11.7</v>
      </c>
      <c r="N54">
        <v>15.7</v>
      </c>
      <c r="O54">
        <v>0</v>
      </c>
      <c r="P54">
        <v>0</v>
      </c>
      <c r="Q54">
        <v>0</v>
      </c>
      <c r="R54">
        <v>0</v>
      </c>
      <c r="S54">
        <v>0</v>
      </c>
      <c r="T54">
        <v>6.2</v>
      </c>
      <c r="U54">
        <v>99.2</v>
      </c>
      <c r="V54">
        <v>143.19999999999999</v>
      </c>
      <c r="W54">
        <f t="shared" si="1"/>
        <v>48.199999999999989</v>
      </c>
    </row>
    <row r="55" spans="1:23" x14ac:dyDescent="0.25">
      <c r="A55" s="11">
        <f t="shared" si="0"/>
        <v>54</v>
      </c>
      <c r="B55" s="11">
        <v>17960</v>
      </c>
      <c r="C55" s="11" t="s">
        <v>691</v>
      </c>
      <c r="D55" s="11" t="s">
        <v>145</v>
      </c>
      <c r="E55" s="11" t="s">
        <v>631</v>
      </c>
      <c r="F55" s="11">
        <v>16</v>
      </c>
      <c r="G55" s="11">
        <v>73.900000000000006</v>
      </c>
      <c r="H55" s="11">
        <v>48</v>
      </c>
      <c r="I55" s="11">
        <v>64.900000000000006</v>
      </c>
      <c r="J55" s="11">
        <v>661</v>
      </c>
      <c r="K55" s="11">
        <v>5</v>
      </c>
      <c r="L55" s="11">
        <v>0</v>
      </c>
      <c r="M55" s="11">
        <v>8.9</v>
      </c>
      <c r="N55" s="11">
        <v>13.8</v>
      </c>
      <c r="O55" s="11">
        <v>0</v>
      </c>
      <c r="P55" s="11">
        <v>0</v>
      </c>
      <c r="Q55" s="11">
        <v>0</v>
      </c>
      <c r="R55" s="11">
        <v>1</v>
      </c>
      <c r="S55" s="11">
        <v>1</v>
      </c>
      <c r="T55" s="11">
        <v>5.9</v>
      </c>
      <c r="U55" s="11">
        <v>94.1</v>
      </c>
      <c r="V55" s="11">
        <v>142.1</v>
      </c>
      <c r="W55" s="11">
        <f t="shared" si="1"/>
        <v>47.099999999999994</v>
      </c>
    </row>
    <row r="56" spans="1:23" x14ac:dyDescent="0.25">
      <c r="A56" s="11">
        <f t="shared" si="0"/>
        <v>55</v>
      </c>
      <c r="B56" s="11">
        <v>16848</v>
      </c>
      <c r="C56" s="11" t="s">
        <v>724</v>
      </c>
      <c r="D56" s="11" t="s">
        <v>145</v>
      </c>
      <c r="E56" s="11" t="s">
        <v>648</v>
      </c>
      <c r="F56" s="11">
        <v>16</v>
      </c>
      <c r="G56" s="11">
        <v>75.400000000000006</v>
      </c>
      <c r="H56" s="11">
        <v>48</v>
      </c>
      <c r="I56" s="11">
        <v>64</v>
      </c>
      <c r="J56" s="11">
        <v>679</v>
      </c>
      <c r="K56" s="11">
        <v>4</v>
      </c>
      <c r="L56" s="11">
        <v>0</v>
      </c>
      <c r="M56" s="11">
        <v>9.1</v>
      </c>
      <c r="N56" s="11">
        <v>14.1</v>
      </c>
      <c r="O56" s="11">
        <v>0.8</v>
      </c>
      <c r="P56" s="11">
        <v>3</v>
      </c>
      <c r="Q56" s="11">
        <v>0</v>
      </c>
      <c r="R56" s="11">
        <v>0</v>
      </c>
      <c r="S56" s="11">
        <v>0</v>
      </c>
      <c r="T56" s="11">
        <v>5.8</v>
      </c>
      <c r="U56" s="11">
        <v>92.2</v>
      </c>
      <c r="V56" s="11">
        <v>140.20000000000002</v>
      </c>
      <c r="W56" s="11">
        <f t="shared" si="1"/>
        <v>45.200000000000017</v>
      </c>
    </row>
    <row r="57" spans="1:23" x14ac:dyDescent="0.25">
      <c r="A57" s="11">
        <f t="shared" si="0"/>
        <v>56</v>
      </c>
      <c r="B57" s="11">
        <v>4358</v>
      </c>
      <c r="C57" s="11" t="s">
        <v>217</v>
      </c>
      <c r="D57" s="11" t="s">
        <v>145</v>
      </c>
      <c r="E57" s="11" t="s">
        <v>167</v>
      </c>
      <c r="F57" s="11">
        <v>16</v>
      </c>
      <c r="G57" s="11">
        <v>77.5</v>
      </c>
      <c r="H57" s="11">
        <v>51</v>
      </c>
      <c r="I57" s="11">
        <v>65.400000000000006</v>
      </c>
      <c r="J57" s="11">
        <v>643</v>
      </c>
      <c r="K57" s="11">
        <v>4</v>
      </c>
      <c r="L57" s="11">
        <v>0</v>
      </c>
      <c r="M57" s="11">
        <v>8.1999999999999993</v>
      </c>
      <c r="N57" s="11">
        <v>12.6</v>
      </c>
      <c r="O57" s="11">
        <v>0</v>
      </c>
      <c r="P57" s="11">
        <v>0</v>
      </c>
      <c r="Q57" s="11">
        <v>0</v>
      </c>
      <c r="R57" s="11">
        <v>0</v>
      </c>
      <c r="S57" s="11">
        <v>0</v>
      </c>
      <c r="T57" s="11">
        <v>5.5</v>
      </c>
      <c r="U57" s="11">
        <v>88.3</v>
      </c>
      <c r="V57" s="11">
        <v>139.30000000000001</v>
      </c>
      <c r="W57" s="11">
        <f t="shared" si="1"/>
        <v>44.300000000000011</v>
      </c>
    </row>
    <row r="58" spans="1:23" x14ac:dyDescent="0.25">
      <c r="A58" s="11">
        <f t="shared" si="0"/>
        <v>57</v>
      </c>
      <c r="B58" s="11">
        <v>16790</v>
      </c>
      <c r="C58" s="11" t="s">
        <v>516</v>
      </c>
      <c r="D58" s="11" t="s">
        <v>145</v>
      </c>
      <c r="E58" s="11" t="s">
        <v>404</v>
      </c>
      <c r="F58" s="11">
        <v>16</v>
      </c>
      <c r="G58" s="11">
        <v>69.599999999999994</v>
      </c>
      <c r="H58" s="11">
        <v>49</v>
      </c>
      <c r="I58" s="11">
        <v>70</v>
      </c>
      <c r="J58" s="11">
        <v>657</v>
      </c>
      <c r="K58" s="11">
        <v>4</v>
      </c>
      <c r="L58" s="11">
        <v>0</v>
      </c>
      <c r="M58" s="11">
        <v>9.4</v>
      </c>
      <c r="N58" s="11">
        <v>13.4</v>
      </c>
      <c r="O58" s="11">
        <v>2</v>
      </c>
      <c r="P58" s="11">
        <v>11</v>
      </c>
      <c r="Q58" s="11">
        <v>0</v>
      </c>
      <c r="R58" s="11">
        <v>1</v>
      </c>
      <c r="S58" s="11">
        <v>1</v>
      </c>
      <c r="T58" s="11">
        <v>5.6</v>
      </c>
      <c r="U58" s="11">
        <v>88.8</v>
      </c>
      <c r="V58" s="11">
        <v>137.79999999999998</v>
      </c>
      <c r="W58" s="11">
        <f t="shared" si="1"/>
        <v>42.799999999999983</v>
      </c>
    </row>
    <row r="59" spans="1:23" x14ac:dyDescent="0.25">
      <c r="A59">
        <f t="shared" si="0"/>
        <v>58</v>
      </c>
      <c r="B59">
        <v>8529</v>
      </c>
      <c r="C59" t="s">
        <v>218</v>
      </c>
      <c r="D59" t="s">
        <v>145</v>
      </c>
      <c r="E59" t="s">
        <v>167</v>
      </c>
      <c r="F59">
        <v>16</v>
      </c>
      <c r="G59">
        <v>69.3</v>
      </c>
      <c r="H59">
        <v>45</v>
      </c>
      <c r="I59">
        <v>65.2</v>
      </c>
      <c r="J59">
        <v>612</v>
      </c>
      <c r="K59">
        <v>5</v>
      </c>
      <c r="L59">
        <v>0</v>
      </c>
      <c r="M59">
        <v>8.9</v>
      </c>
      <c r="N59">
        <v>13.6</v>
      </c>
      <c r="O59">
        <v>0.8</v>
      </c>
      <c r="P59">
        <v>3</v>
      </c>
      <c r="Q59">
        <v>0</v>
      </c>
      <c r="R59">
        <v>0</v>
      </c>
      <c r="S59">
        <v>0</v>
      </c>
      <c r="T59">
        <v>5.7</v>
      </c>
      <c r="U59">
        <v>91.5</v>
      </c>
      <c r="V59">
        <v>136.5</v>
      </c>
      <c r="W59">
        <f t="shared" si="1"/>
        <v>41.5</v>
      </c>
    </row>
    <row r="60" spans="1:23" x14ac:dyDescent="0.25">
      <c r="A60">
        <f t="shared" si="0"/>
        <v>59</v>
      </c>
      <c r="B60">
        <v>13788</v>
      </c>
      <c r="C60" t="s">
        <v>851</v>
      </c>
      <c r="D60" t="s">
        <v>145</v>
      </c>
      <c r="E60" t="s">
        <v>783</v>
      </c>
      <c r="F60">
        <v>16</v>
      </c>
      <c r="G60">
        <v>81</v>
      </c>
      <c r="H60">
        <v>46</v>
      </c>
      <c r="I60">
        <v>56.8</v>
      </c>
      <c r="J60">
        <v>603</v>
      </c>
      <c r="K60">
        <v>4</v>
      </c>
      <c r="L60">
        <v>0</v>
      </c>
      <c r="M60">
        <v>7.4</v>
      </c>
      <c r="N60">
        <v>13.1</v>
      </c>
      <c r="O60">
        <v>0.3</v>
      </c>
      <c r="P60">
        <v>1</v>
      </c>
      <c r="Q60">
        <v>0</v>
      </c>
      <c r="R60">
        <v>0</v>
      </c>
      <c r="S60">
        <v>0</v>
      </c>
      <c r="T60">
        <v>5.3</v>
      </c>
      <c r="U60">
        <v>84.4</v>
      </c>
      <c r="V60">
        <v>130.4</v>
      </c>
      <c r="W60">
        <f t="shared" si="1"/>
        <v>35.400000000000006</v>
      </c>
    </row>
    <row r="61" spans="1:23" x14ac:dyDescent="0.25">
      <c r="A61">
        <f t="shared" si="0"/>
        <v>60</v>
      </c>
      <c r="B61">
        <v>8532</v>
      </c>
      <c r="C61" t="s">
        <v>539</v>
      </c>
      <c r="D61" t="s">
        <v>145</v>
      </c>
      <c r="E61" t="s">
        <v>417</v>
      </c>
      <c r="F61">
        <v>16</v>
      </c>
      <c r="G61">
        <v>54.1</v>
      </c>
      <c r="H61">
        <v>41</v>
      </c>
      <c r="I61">
        <v>75.900000000000006</v>
      </c>
      <c r="J61">
        <v>640</v>
      </c>
      <c r="K61">
        <v>4</v>
      </c>
      <c r="L61">
        <v>0</v>
      </c>
      <c r="M61">
        <v>11.9</v>
      </c>
      <c r="N61">
        <v>15.6</v>
      </c>
      <c r="O61">
        <v>0</v>
      </c>
      <c r="P61">
        <v>0</v>
      </c>
      <c r="Q61">
        <v>0</v>
      </c>
      <c r="R61">
        <v>0</v>
      </c>
      <c r="S61">
        <v>0</v>
      </c>
      <c r="T61">
        <v>5.5</v>
      </c>
      <c r="U61">
        <v>88</v>
      </c>
      <c r="V61">
        <v>129</v>
      </c>
      <c r="W61">
        <f t="shared" si="1"/>
        <v>34</v>
      </c>
    </row>
    <row r="62" spans="1:23" x14ac:dyDescent="0.25">
      <c r="A62" s="11">
        <f t="shared" si="0"/>
        <v>61</v>
      </c>
      <c r="B62" s="11">
        <v>16802</v>
      </c>
      <c r="C62" s="11" t="s">
        <v>239</v>
      </c>
      <c r="D62" s="11" t="s">
        <v>145</v>
      </c>
      <c r="E62" s="11" t="s">
        <v>176</v>
      </c>
      <c r="F62" s="11">
        <v>16</v>
      </c>
      <c r="G62" s="11">
        <v>65.099999999999994</v>
      </c>
      <c r="H62" s="11">
        <v>42</v>
      </c>
      <c r="I62" s="11">
        <v>64.599999999999994</v>
      </c>
      <c r="J62" s="11">
        <v>578</v>
      </c>
      <c r="K62" s="11">
        <v>5</v>
      </c>
      <c r="L62" s="11">
        <v>0</v>
      </c>
      <c r="M62" s="11">
        <v>8.9</v>
      </c>
      <c r="N62" s="11">
        <v>13.8</v>
      </c>
      <c r="O62" s="11">
        <v>1</v>
      </c>
      <c r="P62" s="11">
        <v>5</v>
      </c>
      <c r="Q62" s="11">
        <v>0</v>
      </c>
      <c r="R62" s="11">
        <v>1</v>
      </c>
      <c r="S62" s="11">
        <v>1</v>
      </c>
      <c r="T62" s="11">
        <v>5.4</v>
      </c>
      <c r="U62" s="11">
        <v>86.3</v>
      </c>
      <c r="V62" s="11">
        <v>128.30000000000001</v>
      </c>
      <c r="W62" s="11">
        <f t="shared" si="1"/>
        <v>33.300000000000011</v>
      </c>
    </row>
    <row r="63" spans="1:23" x14ac:dyDescent="0.25">
      <c r="A63">
        <f t="shared" si="0"/>
        <v>62</v>
      </c>
      <c r="B63">
        <v>14871</v>
      </c>
      <c r="C63" t="s">
        <v>228</v>
      </c>
      <c r="D63" t="s">
        <v>145</v>
      </c>
      <c r="E63" t="s">
        <v>172</v>
      </c>
      <c r="F63">
        <v>16</v>
      </c>
      <c r="G63">
        <v>79.2</v>
      </c>
      <c r="H63">
        <v>48</v>
      </c>
      <c r="I63">
        <v>60.8</v>
      </c>
      <c r="J63">
        <v>565</v>
      </c>
      <c r="K63">
        <v>4</v>
      </c>
      <c r="L63">
        <v>0</v>
      </c>
      <c r="M63">
        <v>7.2</v>
      </c>
      <c r="N63">
        <v>11.8</v>
      </c>
      <c r="O63">
        <v>0.5</v>
      </c>
      <c r="P63">
        <v>2</v>
      </c>
      <c r="Q63">
        <v>0</v>
      </c>
      <c r="R63">
        <v>1</v>
      </c>
      <c r="S63">
        <v>1</v>
      </c>
      <c r="T63">
        <v>4.9000000000000004</v>
      </c>
      <c r="U63">
        <v>78.7</v>
      </c>
      <c r="V63">
        <v>126.69999999999999</v>
      </c>
      <c r="W63">
        <f t="shared" si="1"/>
        <v>31.699999999999989</v>
      </c>
    </row>
    <row r="64" spans="1:23" x14ac:dyDescent="0.25">
      <c r="A64">
        <f t="shared" si="0"/>
        <v>63</v>
      </c>
      <c r="B64">
        <v>14749</v>
      </c>
      <c r="C64" t="s">
        <v>831</v>
      </c>
      <c r="D64" t="s">
        <v>145</v>
      </c>
      <c r="E64" t="s">
        <v>772</v>
      </c>
      <c r="F64">
        <v>16</v>
      </c>
      <c r="G64">
        <v>73</v>
      </c>
      <c r="H64">
        <v>41</v>
      </c>
      <c r="I64">
        <v>56.2</v>
      </c>
      <c r="J64">
        <v>570</v>
      </c>
      <c r="K64">
        <v>4</v>
      </c>
      <c r="L64">
        <v>0</v>
      </c>
      <c r="M64">
        <v>7.8</v>
      </c>
      <c r="N64">
        <v>13.9</v>
      </c>
      <c r="O64">
        <v>0</v>
      </c>
      <c r="P64">
        <v>0</v>
      </c>
      <c r="Q64">
        <v>0</v>
      </c>
      <c r="R64">
        <v>0</v>
      </c>
      <c r="S64">
        <v>0</v>
      </c>
      <c r="T64">
        <v>5.0999999999999996</v>
      </c>
      <c r="U64">
        <v>81</v>
      </c>
      <c r="V64">
        <v>122</v>
      </c>
      <c r="W64">
        <f t="shared" si="1"/>
        <v>27</v>
      </c>
    </row>
    <row r="65" spans="1:23" x14ac:dyDescent="0.25">
      <c r="A65" s="11">
        <f t="shared" si="0"/>
        <v>64</v>
      </c>
      <c r="B65" s="11">
        <v>17986</v>
      </c>
      <c r="C65" s="11" t="s">
        <v>333</v>
      </c>
      <c r="D65" s="11" t="s">
        <v>145</v>
      </c>
      <c r="E65" s="11" t="s">
        <v>279</v>
      </c>
      <c r="F65" s="11">
        <v>16</v>
      </c>
      <c r="G65" s="11">
        <v>59.9</v>
      </c>
      <c r="H65" s="11">
        <v>45</v>
      </c>
      <c r="I65" s="11">
        <v>75</v>
      </c>
      <c r="J65" s="11">
        <v>548</v>
      </c>
      <c r="K65" s="11">
        <v>3</v>
      </c>
      <c r="L65" s="11">
        <v>0</v>
      </c>
      <c r="M65" s="11">
        <v>9.1</v>
      </c>
      <c r="N65" s="11">
        <v>12.2</v>
      </c>
      <c r="O65" s="11">
        <v>7</v>
      </c>
      <c r="P65" s="11">
        <v>39</v>
      </c>
      <c r="Q65" s="11">
        <v>0</v>
      </c>
      <c r="R65" s="11">
        <v>1</v>
      </c>
      <c r="S65" s="11">
        <v>1</v>
      </c>
      <c r="T65" s="11">
        <v>4.7</v>
      </c>
      <c r="U65" s="11">
        <v>74.7</v>
      </c>
      <c r="V65" s="11">
        <v>119.7</v>
      </c>
      <c r="W65" s="11">
        <f t="shared" si="1"/>
        <v>24.700000000000003</v>
      </c>
    </row>
    <row r="66" spans="1:23" x14ac:dyDescent="0.25">
      <c r="A66" s="11">
        <f t="shared" ref="A66:A129" si="2">_xlfn.RANK.AVG(V66,$V$2:$V$246,0)</f>
        <v>65</v>
      </c>
      <c r="B66" s="11">
        <v>13957</v>
      </c>
      <c r="C66" s="11" t="s">
        <v>852</v>
      </c>
      <c r="D66" s="11" t="s">
        <v>145</v>
      </c>
      <c r="E66" s="11" t="s">
        <v>783</v>
      </c>
      <c r="F66" s="11">
        <v>16</v>
      </c>
      <c r="G66" s="11">
        <v>65.8</v>
      </c>
      <c r="H66" s="11">
        <v>47</v>
      </c>
      <c r="I66" s="11">
        <v>71.2</v>
      </c>
      <c r="J66" s="11">
        <v>541</v>
      </c>
      <c r="K66" s="11">
        <v>3</v>
      </c>
      <c r="L66" s="11">
        <v>0</v>
      </c>
      <c r="M66" s="11">
        <v>8.1999999999999993</v>
      </c>
      <c r="N66" s="11">
        <v>11.5</v>
      </c>
      <c r="O66" s="11">
        <v>0.3</v>
      </c>
      <c r="P66" s="11">
        <v>1</v>
      </c>
      <c r="Q66" s="11">
        <v>0</v>
      </c>
      <c r="R66" s="11">
        <v>0</v>
      </c>
      <c r="S66" s="11">
        <v>0</v>
      </c>
      <c r="T66" s="11">
        <v>4.5</v>
      </c>
      <c r="U66" s="11">
        <v>72.2</v>
      </c>
      <c r="V66" s="11">
        <v>119.19999999999999</v>
      </c>
      <c r="W66" s="11">
        <f t="shared" si="1"/>
        <v>24.199999999999989</v>
      </c>
    </row>
    <row r="67" spans="1:23" x14ac:dyDescent="0.25">
      <c r="A67" s="11">
        <f t="shared" si="2"/>
        <v>66</v>
      </c>
      <c r="B67" s="11">
        <v>17916</v>
      </c>
      <c r="C67" s="11" t="s">
        <v>509</v>
      </c>
      <c r="D67" s="11" t="s">
        <v>145</v>
      </c>
      <c r="E67" s="11" t="s">
        <v>400</v>
      </c>
      <c r="F67" s="11">
        <v>16</v>
      </c>
      <c r="G67" s="11">
        <v>57</v>
      </c>
      <c r="H67" s="11">
        <v>37</v>
      </c>
      <c r="I67" s="11">
        <v>64.900000000000006</v>
      </c>
      <c r="J67" s="11">
        <v>545</v>
      </c>
      <c r="K67" s="11">
        <v>4</v>
      </c>
      <c r="L67" s="11">
        <v>0</v>
      </c>
      <c r="M67" s="11">
        <v>9.6</v>
      </c>
      <c r="N67" s="11">
        <v>14.7</v>
      </c>
      <c r="O67" s="11">
        <v>1</v>
      </c>
      <c r="P67" s="11">
        <v>6</v>
      </c>
      <c r="Q67" s="11">
        <v>0</v>
      </c>
      <c r="R67" s="11">
        <v>0</v>
      </c>
      <c r="S67" s="11">
        <v>0</v>
      </c>
      <c r="T67" s="11">
        <v>4.9000000000000004</v>
      </c>
      <c r="U67" s="11">
        <v>79.099999999999994</v>
      </c>
      <c r="V67" s="11">
        <v>116.1</v>
      </c>
      <c r="W67" s="11">
        <f t="shared" ref="W67:W130" si="3">V67-$Y$1</f>
        <v>21.099999999999994</v>
      </c>
    </row>
    <row r="68" spans="1:23" x14ac:dyDescent="0.25">
      <c r="A68">
        <f t="shared" si="2"/>
        <v>67</v>
      </c>
      <c r="B68">
        <v>16470</v>
      </c>
      <c r="C68" t="s">
        <v>503</v>
      </c>
      <c r="D68" t="s">
        <v>145</v>
      </c>
      <c r="E68" t="s">
        <v>397</v>
      </c>
      <c r="F68">
        <v>16</v>
      </c>
      <c r="G68">
        <v>54.5</v>
      </c>
      <c r="H68">
        <v>41</v>
      </c>
      <c r="I68">
        <v>74.5</v>
      </c>
      <c r="J68">
        <v>481</v>
      </c>
      <c r="K68">
        <v>4</v>
      </c>
      <c r="L68">
        <v>0</v>
      </c>
      <c r="M68">
        <v>8.6999999999999993</v>
      </c>
      <c r="N68">
        <v>11.7</v>
      </c>
      <c r="O68">
        <v>0</v>
      </c>
      <c r="P68">
        <v>0</v>
      </c>
      <c r="Q68">
        <v>0</v>
      </c>
      <c r="R68">
        <v>0</v>
      </c>
      <c r="S68">
        <v>0</v>
      </c>
      <c r="T68">
        <v>4.5</v>
      </c>
      <c r="U68">
        <v>72.099999999999994</v>
      </c>
      <c r="V68">
        <v>113.1</v>
      </c>
      <c r="W68">
        <f t="shared" si="3"/>
        <v>18.099999999999994</v>
      </c>
    </row>
    <row r="69" spans="1:23" x14ac:dyDescent="0.25">
      <c r="A69">
        <f t="shared" si="2"/>
        <v>68</v>
      </c>
      <c r="B69">
        <v>16664</v>
      </c>
      <c r="C69" t="s">
        <v>837</v>
      </c>
      <c r="D69" t="s">
        <v>145</v>
      </c>
      <c r="E69" t="s">
        <v>774</v>
      </c>
      <c r="F69">
        <v>16</v>
      </c>
      <c r="G69">
        <v>64.900000000000006</v>
      </c>
      <c r="H69">
        <v>43</v>
      </c>
      <c r="I69">
        <v>66.2</v>
      </c>
      <c r="J69">
        <v>507</v>
      </c>
      <c r="K69">
        <v>3</v>
      </c>
      <c r="L69">
        <v>0</v>
      </c>
      <c r="M69">
        <v>7.8</v>
      </c>
      <c r="N69">
        <v>11.8</v>
      </c>
      <c r="O69">
        <v>5</v>
      </c>
      <c r="P69">
        <v>31</v>
      </c>
      <c r="Q69">
        <v>0</v>
      </c>
      <c r="R69">
        <v>1</v>
      </c>
      <c r="S69">
        <v>1</v>
      </c>
      <c r="T69">
        <v>4.4000000000000004</v>
      </c>
      <c r="U69">
        <v>69.8</v>
      </c>
      <c r="V69">
        <v>112.8</v>
      </c>
      <c r="W69">
        <f t="shared" si="3"/>
        <v>17.799999999999997</v>
      </c>
    </row>
    <row r="70" spans="1:23" x14ac:dyDescent="0.25">
      <c r="A70">
        <f t="shared" si="2"/>
        <v>69</v>
      </c>
      <c r="B70">
        <v>16781</v>
      </c>
      <c r="C70" t="s">
        <v>716</v>
      </c>
      <c r="D70" t="s">
        <v>145</v>
      </c>
      <c r="E70" t="s">
        <v>107</v>
      </c>
      <c r="F70">
        <v>16</v>
      </c>
      <c r="G70">
        <v>64.400000000000006</v>
      </c>
      <c r="H70">
        <v>41</v>
      </c>
      <c r="I70">
        <v>64.099999999999994</v>
      </c>
      <c r="J70">
        <v>538</v>
      </c>
      <c r="K70">
        <v>3</v>
      </c>
      <c r="L70">
        <v>0</v>
      </c>
      <c r="M70">
        <v>8.4</v>
      </c>
      <c r="N70">
        <v>13.1</v>
      </c>
      <c r="O70">
        <v>0</v>
      </c>
      <c r="P70">
        <v>0</v>
      </c>
      <c r="Q70">
        <v>0</v>
      </c>
      <c r="R70">
        <v>1</v>
      </c>
      <c r="S70">
        <v>1</v>
      </c>
      <c r="T70">
        <v>4.4000000000000004</v>
      </c>
      <c r="U70">
        <v>69.8</v>
      </c>
      <c r="V70">
        <v>110.8</v>
      </c>
      <c r="W70">
        <f t="shared" si="3"/>
        <v>15.799999999999997</v>
      </c>
    </row>
    <row r="71" spans="1:23" x14ac:dyDescent="0.25">
      <c r="A71" s="11">
        <f t="shared" si="2"/>
        <v>70.5</v>
      </c>
      <c r="B71" s="11">
        <v>16787</v>
      </c>
      <c r="C71" s="11" t="s">
        <v>219</v>
      </c>
      <c r="D71" s="11" t="s">
        <v>145</v>
      </c>
      <c r="E71" s="11" t="s">
        <v>167</v>
      </c>
      <c r="F71" s="11">
        <v>16</v>
      </c>
      <c r="G71" s="11">
        <v>61.9</v>
      </c>
      <c r="H71" s="11">
        <v>38</v>
      </c>
      <c r="I71" s="11">
        <v>61.3</v>
      </c>
      <c r="J71" s="11">
        <v>512</v>
      </c>
      <c r="K71" s="11">
        <v>3</v>
      </c>
      <c r="L71" s="11">
        <v>0</v>
      </c>
      <c r="M71" s="11">
        <v>8.3000000000000007</v>
      </c>
      <c r="N71" s="11">
        <v>13.5</v>
      </c>
      <c r="O71" s="11">
        <v>0</v>
      </c>
      <c r="P71" s="11">
        <v>0</v>
      </c>
      <c r="Q71" s="11">
        <v>0</v>
      </c>
      <c r="R71" s="11">
        <v>0</v>
      </c>
      <c r="S71" s="11">
        <v>0</v>
      </c>
      <c r="T71" s="11">
        <v>4.3</v>
      </c>
      <c r="U71" s="11">
        <v>69.2</v>
      </c>
      <c r="V71" s="11">
        <v>107.2</v>
      </c>
      <c r="W71" s="11">
        <f t="shared" si="3"/>
        <v>12.200000000000003</v>
      </c>
    </row>
    <row r="72" spans="1:23" x14ac:dyDescent="0.25">
      <c r="A72" s="11">
        <f t="shared" si="2"/>
        <v>70.5</v>
      </c>
      <c r="B72" s="11">
        <v>14828</v>
      </c>
      <c r="C72" s="11" t="s">
        <v>560</v>
      </c>
      <c r="D72" s="11" t="s">
        <v>145</v>
      </c>
      <c r="E72" s="11" t="s">
        <v>430</v>
      </c>
      <c r="F72" s="11">
        <v>16</v>
      </c>
      <c r="G72" s="11">
        <v>58.2</v>
      </c>
      <c r="H72" s="11">
        <v>41</v>
      </c>
      <c r="I72" s="11">
        <v>70.7</v>
      </c>
      <c r="J72" s="11">
        <v>499</v>
      </c>
      <c r="K72" s="11">
        <v>3</v>
      </c>
      <c r="L72" s="11">
        <v>0</v>
      </c>
      <c r="M72" s="11">
        <v>8.6</v>
      </c>
      <c r="N72" s="11">
        <v>12.2</v>
      </c>
      <c r="O72" s="11">
        <v>1</v>
      </c>
      <c r="P72" s="11">
        <v>3</v>
      </c>
      <c r="Q72" s="11">
        <v>0</v>
      </c>
      <c r="R72" s="11">
        <v>1</v>
      </c>
      <c r="S72" s="11">
        <v>1</v>
      </c>
      <c r="T72" s="11">
        <v>4.0999999999999996</v>
      </c>
      <c r="U72" s="11">
        <v>66.2</v>
      </c>
      <c r="V72" s="11">
        <v>107.2</v>
      </c>
      <c r="W72" s="11">
        <f t="shared" si="3"/>
        <v>12.200000000000003</v>
      </c>
    </row>
    <row r="73" spans="1:23" x14ac:dyDescent="0.25">
      <c r="A73">
        <f t="shared" si="2"/>
        <v>72</v>
      </c>
      <c r="B73">
        <v>11712</v>
      </c>
      <c r="C73" t="s">
        <v>494</v>
      </c>
      <c r="D73" t="s">
        <v>145</v>
      </c>
      <c r="E73" t="s">
        <v>393</v>
      </c>
      <c r="F73">
        <v>16</v>
      </c>
      <c r="G73">
        <v>62.2</v>
      </c>
      <c r="H73">
        <v>42</v>
      </c>
      <c r="I73">
        <v>67.7</v>
      </c>
      <c r="J73">
        <v>486</v>
      </c>
      <c r="K73">
        <v>3</v>
      </c>
      <c r="L73">
        <v>0</v>
      </c>
      <c r="M73">
        <v>7.8</v>
      </c>
      <c r="N73">
        <v>11.6</v>
      </c>
      <c r="O73">
        <v>0</v>
      </c>
      <c r="P73">
        <v>0</v>
      </c>
      <c r="Q73">
        <v>0</v>
      </c>
      <c r="R73">
        <v>1</v>
      </c>
      <c r="S73">
        <v>1</v>
      </c>
      <c r="T73">
        <v>4</v>
      </c>
      <c r="U73">
        <v>64.599999999999994</v>
      </c>
      <c r="V73">
        <v>106.6</v>
      </c>
      <c r="W73">
        <f t="shared" si="3"/>
        <v>11.599999999999994</v>
      </c>
    </row>
    <row r="74" spans="1:23" x14ac:dyDescent="0.25">
      <c r="A74" s="11">
        <f t="shared" si="2"/>
        <v>73</v>
      </c>
      <c r="B74" s="11">
        <v>16831</v>
      </c>
      <c r="C74" s="11" t="s">
        <v>510</v>
      </c>
      <c r="D74" s="11" t="s">
        <v>145</v>
      </c>
      <c r="E74" s="11" t="s">
        <v>400</v>
      </c>
      <c r="F74" s="11">
        <v>16</v>
      </c>
      <c r="G74" s="11">
        <v>60.3</v>
      </c>
      <c r="H74" s="11">
        <v>37</v>
      </c>
      <c r="I74" s="11">
        <v>61.7</v>
      </c>
      <c r="J74" s="11">
        <v>455</v>
      </c>
      <c r="K74" s="11">
        <v>4</v>
      </c>
      <c r="L74" s="11">
        <v>0</v>
      </c>
      <c r="M74" s="11">
        <v>7.6</v>
      </c>
      <c r="N74" s="11">
        <v>12.3</v>
      </c>
      <c r="O74" s="11">
        <v>0</v>
      </c>
      <c r="P74" s="11">
        <v>0</v>
      </c>
      <c r="Q74" s="11">
        <v>0</v>
      </c>
      <c r="R74" s="11">
        <v>0</v>
      </c>
      <c r="S74" s="11">
        <v>0</v>
      </c>
      <c r="T74" s="11">
        <v>4.3</v>
      </c>
      <c r="U74" s="11">
        <v>69.5</v>
      </c>
      <c r="V74" s="11">
        <v>106.5</v>
      </c>
      <c r="W74" s="11">
        <f t="shared" si="3"/>
        <v>11.5</v>
      </c>
    </row>
    <row r="75" spans="1:23" x14ac:dyDescent="0.25">
      <c r="A75">
        <f t="shared" si="2"/>
        <v>74</v>
      </c>
      <c r="B75">
        <v>16801</v>
      </c>
      <c r="C75" t="s">
        <v>853</v>
      </c>
      <c r="D75" t="s">
        <v>145</v>
      </c>
      <c r="E75" t="s">
        <v>783</v>
      </c>
      <c r="F75">
        <v>16</v>
      </c>
      <c r="G75">
        <v>59.1</v>
      </c>
      <c r="H75">
        <v>33</v>
      </c>
      <c r="I75">
        <v>55.9</v>
      </c>
      <c r="J75">
        <v>476</v>
      </c>
      <c r="K75">
        <v>4</v>
      </c>
      <c r="L75">
        <v>0</v>
      </c>
      <c r="M75">
        <v>8.1</v>
      </c>
      <c r="N75">
        <v>14.4</v>
      </c>
      <c r="O75">
        <v>0.8</v>
      </c>
      <c r="P75">
        <v>3</v>
      </c>
      <c r="Q75">
        <v>0</v>
      </c>
      <c r="R75">
        <v>0</v>
      </c>
      <c r="S75">
        <v>0</v>
      </c>
      <c r="T75">
        <v>4.5</v>
      </c>
      <c r="U75">
        <v>71.900000000000006</v>
      </c>
      <c r="V75">
        <v>104.89999999999999</v>
      </c>
      <c r="W75">
        <f t="shared" si="3"/>
        <v>9.8999999999999915</v>
      </c>
    </row>
    <row r="76" spans="1:23" x14ac:dyDescent="0.25">
      <c r="A76">
        <f t="shared" si="2"/>
        <v>75</v>
      </c>
      <c r="B76">
        <v>12109</v>
      </c>
      <c r="C76" t="s">
        <v>240</v>
      </c>
      <c r="D76" t="s">
        <v>145</v>
      </c>
      <c r="E76" t="s">
        <v>176</v>
      </c>
      <c r="F76">
        <v>16</v>
      </c>
      <c r="G76">
        <v>50.4</v>
      </c>
      <c r="H76">
        <v>30</v>
      </c>
      <c r="I76">
        <v>60</v>
      </c>
      <c r="J76">
        <v>468</v>
      </c>
      <c r="K76">
        <v>4</v>
      </c>
      <c r="L76">
        <v>0</v>
      </c>
      <c r="M76">
        <v>9.4</v>
      </c>
      <c r="N76">
        <v>15.6</v>
      </c>
      <c r="O76">
        <v>3</v>
      </c>
      <c r="P76">
        <v>24</v>
      </c>
      <c r="Q76">
        <v>0</v>
      </c>
      <c r="R76">
        <v>0</v>
      </c>
      <c r="S76">
        <v>0</v>
      </c>
      <c r="T76">
        <v>4.5999999999999996</v>
      </c>
      <c r="U76">
        <v>73.2</v>
      </c>
      <c r="V76">
        <v>103.2</v>
      </c>
      <c r="W76">
        <f t="shared" si="3"/>
        <v>8.2000000000000028</v>
      </c>
    </row>
    <row r="77" spans="1:23" x14ac:dyDescent="0.25">
      <c r="A77" s="11">
        <f t="shared" si="2"/>
        <v>76</v>
      </c>
      <c r="B77" s="11">
        <v>17939</v>
      </c>
      <c r="C77" s="11" t="s">
        <v>861</v>
      </c>
      <c r="D77" s="11" t="s">
        <v>145</v>
      </c>
      <c r="E77" s="11" t="s">
        <v>787</v>
      </c>
      <c r="F77" s="11">
        <v>16</v>
      </c>
      <c r="G77" s="11">
        <v>54.3</v>
      </c>
      <c r="H77" s="11">
        <v>35</v>
      </c>
      <c r="I77" s="11">
        <v>64.8</v>
      </c>
      <c r="J77" s="11">
        <v>459</v>
      </c>
      <c r="K77" s="11">
        <v>4</v>
      </c>
      <c r="L77" s="11">
        <v>0</v>
      </c>
      <c r="M77" s="11">
        <v>8.5</v>
      </c>
      <c r="N77" s="11">
        <v>13.1</v>
      </c>
      <c r="O77" s="11">
        <v>0</v>
      </c>
      <c r="P77" s="11">
        <v>0</v>
      </c>
      <c r="Q77" s="11">
        <v>0</v>
      </c>
      <c r="R77" s="11">
        <v>1</v>
      </c>
      <c r="S77" s="11">
        <v>1</v>
      </c>
      <c r="T77" s="11">
        <v>4.2</v>
      </c>
      <c r="U77" s="11">
        <v>67.900000000000006</v>
      </c>
      <c r="V77" s="11">
        <v>102.9</v>
      </c>
      <c r="W77" s="11">
        <f t="shared" si="3"/>
        <v>7.9000000000000057</v>
      </c>
    </row>
    <row r="78" spans="1:23" x14ac:dyDescent="0.25">
      <c r="A78">
        <f t="shared" si="2"/>
        <v>77</v>
      </c>
      <c r="B78">
        <v>14141</v>
      </c>
      <c r="C78" t="s">
        <v>350</v>
      </c>
      <c r="D78" t="s">
        <v>145</v>
      </c>
      <c r="E78" t="s">
        <v>288</v>
      </c>
      <c r="F78">
        <v>16</v>
      </c>
      <c r="G78">
        <v>63.2</v>
      </c>
      <c r="H78">
        <v>43</v>
      </c>
      <c r="I78">
        <v>68.3</v>
      </c>
      <c r="J78">
        <v>451</v>
      </c>
      <c r="K78">
        <v>3</v>
      </c>
      <c r="L78">
        <v>0</v>
      </c>
      <c r="M78">
        <v>7.2</v>
      </c>
      <c r="N78">
        <v>10.5</v>
      </c>
      <c r="O78">
        <v>0</v>
      </c>
      <c r="P78">
        <v>0</v>
      </c>
      <c r="Q78">
        <v>0</v>
      </c>
      <c r="R78">
        <v>2</v>
      </c>
      <c r="S78">
        <v>2</v>
      </c>
      <c r="T78">
        <v>3.7</v>
      </c>
      <c r="U78">
        <v>59.1</v>
      </c>
      <c r="V78">
        <v>102.1</v>
      </c>
      <c r="W78">
        <f t="shared" si="3"/>
        <v>7.0999999999999943</v>
      </c>
    </row>
    <row r="79" spans="1:23" x14ac:dyDescent="0.25">
      <c r="A79">
        <f t="shared" si="2"/>
        <v>78</v>
      </c>
      <c r="B79">
        <v>16866</v>
      </c>
      <c r="C79" t="s">
        <v>862</v>
      </c>
      <c r="D79" t="s">
        <v>145</v>
      </c>
      <c r="E79" t="s">
        <v>787</v>
      </c>
      <c r="F79">
        <v>16</v>
      </c>
      <c r="G79">
        <v>76.099999999999994</v>
      </c>
      <c r="H79">
        <v>43</v>
      </c>
      <c r="I79">
        <v>56.6</v>
      </c>
      <c r="J79">
        <v>471</v>
      </c>
      <c r="K79">
        <v>2</v>
      </c>
      <c r="L79">
        <v>0</v>
      </c>
      <c r="M79">
        <v>6.2</v>
      </c>
      <c r="N79">
        <v>11</v>
      </c>
      <c r="O79">
        <v>0.5</v>
      </c>
      <c r="P79">
        <v>2</v>
      </c>
      <c r="Q79">
        <v>0</v>
      </c>
      <c r="R79">
        <v>1</v>
      </c>
      <c r="S79">
        <v>1</v>
      </c>
      <c r="T79">
        <v>3.6</v>
      </c>
      <c r="U79">
        <v>57.3</v>
      </c>
      <c r="V79">
        <v>100.3</v>
      </c>
      <c r="W79">
        <f t="shared" si="3"/>
        <v>5.2999999999999972</v>
      </c>
    </row>
    <row r="80" spans="1:23" x14ac:dyDescent="0.25">
      <c r="A80">
        <f t="shared" si="2"/>
        <v>79</v>
      </c>
      <c r="B80">
        <v>18058</v>
      </c>
      <c r="C80" t="s">
        <v>854</v>
      </c>
      <c r="D80" t="s">
        <v>145</v>
      </c>
      <c r="E80" t="s">
        <v>783</v>
      </c>
      <c r="F80">
        <v>16</v>
      </c>
      <c r="G80">
        <v>59</v>
      </c>
      <c r="H80">
        <v>36</v>
      </c>
      <c r="I80">
        <v>61</v>
      </c>
      <c r="J80">
        <v>462</v>
      </c>
      <c r="K80">
        <v>3</v>
      </c>
      <c r="L80">
        <v>0</v>
      </c>
      <c r="M80">
        <v>7.8</v>
      </c>
      <c r="N80">
        <v>12.8</v>
      </c>
      <c r="O80">
        <v>0</v>
      </c>
      <c r="P80">
        <v>0</v>
      </c>
      <c r="Q80">
        <v>0</v>
      </c>
      <c r="R80">
        <v>1</v>
      </c>
      <c r="S80">
        <v>1</v>
      </c>
      <c r="T80">
        <v>3.9</v>
      </c>
      <c r="U80">
        <v>62.2</v>
      </c>
      <c r="V80">
        <v>98.2</v>
      </c>
      <c r="W80">
        <f t="shared" si="3"/>
        <v>3.2000000000000028</v>
      </c>
    </row>
    <row r="81" spans="1:23" x14ac:dyDescent="0.25">
      <c r="A81">
        <f t="shared" si="2"/>
        <v>80</v>
      </c>
      <c r="B81">
        <v>12246</v>
      </c>
      <c r="C81" t="s">
        <v>698</v>
      </c>
      <c r="D81" t="s">
        <v>145</v>
      </c>
      <c r="E81" t="s">
        <v>635</v>
      </c>
      <c r="F81">
        <v>16</v>
      </c>
      <c r="G81">
        <v>51.5</v>
      </c>
      <c r="H81">
        <v>35</v>
      </c>
      <c r="I81">
        <v>68.599999999999994</v>
      </c>
      <c r="J81">
        <v>445</v>
      </c>
      <c r="K81">
        <v>3</v>
      </c>
      <c r="L81">
        <v>0</v>
      </c>
      <c r="M81">
        <v>8.6999999999999993</v>
      </c>
      <c r="N81">
        <v>12.7</v>
      </c>
      <c r="O81">
        <v>0</v>
      </c>
      <c r="P81">
        <v>0</v>
      </c>
      <c r="Q81">
        <v>0</v>
      </c>
      <c r="R81">
        <v>0</v>
      </c>
      <c r="S81">
        <v>0</v>
      </c>
      <c r="T81">
        <v>3.9</v>
      </c>
      <c r="U81">
        <v>62.5</v>
      </c>
      <c r="V81">
        <v>97.5</v>
      </c>
      <c r="W81">
        <f t="shared" si="3"/>
        <v>2.5</v>
      </c>
    </row>
    <row r="82" spans="1:23" x14ac:dyDescent="0.25">
      <c r="A82">
        <f t="shared" si="2"/>
        <v>81</v>
      </c>
      <c r="B82">
        <v>7389</v>
      </c>
      <c r="C82" t="s">
        <v>325</v>
      </c>
      <c r="D82" t="s">
        <v>145</v>
      </c>
      <c r="E82" t="s">
        <v>273</v>
      </c>
      <c r="F82">
        <v>16</v>
      </c>
      <c r="G82">
        <v>75.7</v>
      </c>
      <c r="H82">
        <v>43</v>
      </c>
      <c r="I82">
        <v>56.6</v>
      </c>
      <c r="J82">
        <v>432</v>
      </c>
      <c r="K82">
        <v>2</v>
      </c>
      <c r="L82">
        <v>0</v>
      </c>
      <c r="M82">
        <v>5.7</v>
      </c>
      <c r="N82">
        <v>10</v>
      </c>
      <c r="O82">
        <v>1</v>
      </c>
      <c r="P82">
        <v>1</v>
      </c>
      <c r="Q82">
        <v>0</v>
      </c>
      <c r="R82">
        <v>1</v>
      </c>
      <c r="S82">
        <v>1</v>
      </c>
      <c r="T82">
        <v>3.3</v>
      </c>
      <c r="U82">
        <v>53.3</v>
      </c>
      <c r="V82">
        <v>96.3</v>
      </c>
      <c r="W82">
        <f t="shared" si="3"/>
        <v>1.2999999999999972</v>
      </c>
    </row>
    <row r="83" spans="1:23" x14ac:dyDescent="0.25">
      <c r="A83">
        <f t="shared" si="2"/>
        <v>82</v>
      </c>
      <c r="B83">
        <v>11463</v>
      </c>
      <c r="C83" t="s">
        <v>334</v>
      </c>
      <c r="D83" t="s">
        <v>145</v>
      </c>
      <c r="E83" t="s">
        <v>279</v>
      </c>
      <c r="F83">
        <v>16</v>
      </c>
      <c r="G83">
        <v>50.4</v>
      </c>
      <c r="H83">
        <v>35</v>
      </c>
      <c r="I83">
        <v>70</v>
      </c>
      <c r="J83">
        <v>446</v>
      </c>
      <c r="K83">
        <v>3</v>
      </c>
      <c r="L83">
        <v>0</v>
      </c>
      <c r="M83">
        <v>8.9</v>
      </c>
      <c r="N83">
        <v>12.7</v>
      </c>
      <c r="O83">
        <v>1</v>
      </c>
      <c r="P83">
        <v>2</v>
      </c>
      <c r="Q83">
        <v>0</v>
      </c>
      <c r="R83">
        <v>1</v>
      </c>
      <c r="S83">
        <v>1</v>
      </c>
      <c r="T83">
        <v>3.8</v>
      </c>
      <c r="U83">
        <v>60.8</v>
      </c>
      <c r="V83">
        <v>95.8</v>
      </c>
      <c r="W83">
        <f t="shared" si="3"/>
        <v>0.79999999999999716</v>
      </c>
    </row>
    <row r="84" spans="1:23" x14ac:dyDescent="0.25">
      <c r="A84">
        <f t="shared" si="2"/>
        <v>83</v>
      </c>
      <c r="B84">
        <v>16868</v>
      </c>
      <c r="C84" t="s">
        <v>209</v>
      </c>
      <c r="D84" t="s">
        <v>145</v>
      </c>
      <c r="E84" t="s">
        <v>162</v>
      </c>
      <c r="F84">
        <v>16</v>
      </c>
      <c r="G84">
        <v>69.8</v>
      </c>
      <c r="H84">
        <v>39</v>
      </c>
      <c r="I84">
        <v>55.7</v>
      </c>
      <c r="J84">
        <v>416</v>
      </c>
      <c r="K84">
        <v>2</v>
      </c>
      <c r="L84">
        <v>0</v>
      </c>
      <c r="M84">
        <v>5.9</v>
      </c>
      <c r="N84">
        <v>10.7</v>
      </c>
      <c r="O84">
        <v>0</v>
      </c>
      <c r="P84">
        <v>0</v>
      </c>
      <c r="Q84">
        <v>0</v>
      </c>
      <c r="R84">
        <v>0</v>
      </c>
      <c r="S84">
        <v>0</v>
      </c>
      <c r="T84">
        <v>3.4</v>
      </c>
      <c r="U84">
        <v>53.6</v>
      </c>
      <c r="V84">
        <v>92.6</v>
      </c>
      <c r="W84">
        <f t="shared" si="3"/>
        <v>-2.4000000000000057</v>
      </c>
    </row>
    <row r="85" spans="1:23" x14ac:dyDescent="0.25">
      <c r="A85">
        <f t="shared" si="2"/>
        <v>84</v>
      </c>
      <c r="B85">
        <v>16837</v>
      </c>
      <c r="C85" t="s">
        <v>529</v>
      </c>
      <c r="D85" t="s">
        <v>145</v>
      </c>
      <c r="E85" t="s">
        <v>411</v>
      </c>
      <c r="F85">
        <v>16</v>
      </c>
      <c r="G85">
        <v>56.1</v>
      </c>
      <c r="H85">
        <v>33</v>
      </c>
      <c r="I85">
        <v>58.9</v>
      </c>
      <c r="J85">
        <v>408</v>
      </c>
      <c r="K85">
        <v>3</v>
      </c>
      <c r="L85">
        <v>0</v>
      </c>
      <c r="M85">
        <v>7.3</v>
      </c>
      <c r="N85">
        <v>12.4</v>
      </c>
      <c r="O85">
        <v>1</v>
      </c>
      <c r="P85">
        <v>3</v>
      </c>
      <c r="Q85">
        <v>0</v>
      </c>
      <c r="R85">
        <v>0</v>
      </c>
      <c r="S85">
        <v>0</v>
      </c>
      <c r="T85">
        <v>3.7</v>
      </c>
      <c r="U85">
        <v>59.1</v>
      </c>
      <c r="V85">
        <v>92.1</v>
      </c>
      <c r="W85">
        <f t="shared" si="3"/>
        <v>-2.9000000000000057</v>
      </c>
    </row>
    <row r="86" spans="1:23" x14ac:dyDescent="0.25">
      <c r="A86">
        <f t="shared" si="2"/>
        <v>85</v>
      </c>
      <c r="B86">
        <v>16326</v>
      </c>
      <c r="C86" t="s">
        <v>712</v>
      </c>
      <c r="D86" t="s">
        <v>145</v>
      </c>
      <c r="E86" t="s">
        <v>644</v>
      </c>
      <c r="F86">
        <v>16</v>
      </c>
      <c r="G86">
        <v>53.3</v>
      </c>
      <c r="H86">
        <v>31</v>
      </c>
      <c r="I86">
        <v>58.5</v>
      </c>
      <c r="J86">
        <v>400</v>
      </c>
      <c r="K86">
        <v>3</v>
      </c>
      <c r="L86">
        <v>0</v>
      </c>
      <c r="M86">
        <v>7.5</v>
      </c>
      <c r="N86">
        <v>12.9</v>
      </c>
      <c r="O86">
        <v>0</v>
      </c>
      <c r="P86">
        <v>0</v>
      </c>
      <c r="Q86">
        <v>0</v>
      </c>
      <c r="R86">
        <v>0</v>
      </c>
      <c r="S86">
        <v>0</v>
      </c>
      <c r="T86">
        <v>3.6</v>
      </c>
      <c r="U86">
        <v>58</v>
      </c>
      <c r="V86">
        <v>89</v>
      </c>
      <c r="W86">
        <f t="shared" si="3"/>
        <v>-6</v>
      </c>
    </row>
    <row r="87" spans="1:23" x14ac:dyDescent="0.25">
      <c r="A87">
        <f t="shared" si="2"/>
        <v>86</v>
      </c>
      <c r="B87">
        <v>15196</v>
      </c>
      <c r="C87" t="s">
        <v>547</v>
      </c>
      <c r="D87" t="s">
        <v>145</v>
      </c>
      <c r="E87" t="s">
        <v>421</v>
      </c>
      <c r="F87">
        <v>16</v>
      </c>
      <c r="G87">
        <v>48.1</v>
      </c>
      <c r="H87">
        <v>31</v>
      </c>
      <c r="I87">
        <v>64.599999999999994</v>
      </c>
      <c r="J87">
        <v>453</v>
      </c>
      <c r="K87">
        <v>2</v>
      </c>
      <c r="L87">
        <v>0</v>
      </c>
      <c r="M87">
        <v>9.4</v>
      </c>
      <c r="N87">
        <v>14.6</v>
      </c>
      <c r="O87">
        <v>0</v>
      </c>
      <c r="P87">
        <v>0</v>
      </c>
      <c r="Q87">
        <v>0</v>
      </c>
      <c r="R87">
        <v>0</v>
      </c>
      <c r="S87">
        <v>0</v>
      </c>
      <c r="T87">
        <v>3.6</v>
      </c>
      <c r="U87">
        <v>57.3</v>
      </c>
      <c r="V87">
        <v>88.3</v>
      </c>
      <c r="W87">
        <f t="shared" si="3"/>
        <v>-6.7000000000000028</v>
      </c>
    </row>
    <row r="88" spans="1:23" x14ac:dyDescent="0.25">
      <c r="A88">
        <f t="shared" si="2"/>
        <v>87</v>
      </c>
      <c r="B88">
        <v>15241</v>
      </c>
      <c r="C88" t="s">
        <v>838</v>
      </c>
      <c r="D88" t="s">
        <v>145</v>
      </c>
      <c r="E88" t="s">
        <v>774</v>
      </c>
      <c r="F88">
        <v>16</v>
      </c>
      <c r="G88">
        <v>44.2</v>
      </c>
      <c r="H88">
        <v>34</v>
      </c>
      <c r="I88">
        <v>77.3</v>
      </c>
      <c r="J88">
        <v>435</v>
      </c>
      <c r="K88">
        <v>2</v>
      </c>
      <c r="L88">
        <v>0</v>
      </c>
      <c r="M88">
        <v>9.9</v>
      </c>
      <c r="N88">
        <v>12.8</v>
      </c>
      <c r="O88">
        <v>0</v>
      </c>
      <c r="P88">
        <v>0</v>
      </c>
      <c r="Q88">
        <v>0</v>
      </c>
      <c r="R88">
        <v>1</v>
      </c>
      <c r="S88">
        <v>1</v>
      </c>
      <c r="T88">
        <v>3.3</v>
      </c>
      <c r="U88">
        <v>53.5</v>
      </c>
      <c r="V88">
        <v>87.5</v>
      </c>
      <c r="W88">
        <f t="shared" si="3"/>
        <v>-7.5</v>
      </c>
    </row>
    <row r="89" spans="1:23" x14ac:dyDescent="0.25">
      <c r="A89">
        <f t="shared" si="2"/>
        <v>88</v>
      </c>
      <c r="B89">
        <v>14465</v>
      </c>
      <c r="C89" t="s">
        <v>554</v>
      </c>
      <c r="D89" t="s">
        <v>145</v>
      </c>
      <c r="E89" t="s">
        <v>426</v>
      </c>
      <c r="F89">
        <v>16</v>
      </c>
      <c r="G89">
        <v>52.8</v>
      </c>
      <c r="H89">
        <v>33</v>
      </c>
      <c r="I89">
        <v>62.3</v>
      </c>
      <c r="J89">
        <v>437</v>
      </c>
      <c r="K89">
        <v>2</v>
      </c>
      <c r="L89">
        <v>0</v>
      </c>
      <c r="M89">
        <v>8.1999999999999993</v>
      </c>
      <c r="N89">
        <v>13.2</v>
      </c>
      <c r="O89">
        <v>0.5</v>
      </c>
      <c r="P89">
        <v>2</v>
      </c>
      <c r="Q89">
        <v>0</v>
      </c>
      <c r="R89">
        <v>1</v>
      </c>
      <c r="S89">
        <v>1</v>
      </c>
      <c r="T89">
        <v>3.4</v>
      </c>
      <c r="U89">
        <v>53.9</v>
      </c>
      <c r="V89">
        <v>86.9</v>
      </c>
      <c r="W89">
        <f t="shared" si="3"/>
        <v>-8.0999999999999943</v>
      </c>
    </row>
    <row r="90" spans="1:23" x14ac:dyDescent="0.25">
      <c r="A90">
        <f t="shared" si="2"/>
        <v>89</v>
      </c>
      <c r="B90">
        <v>12847</v>
      </c>
      <c r="C90" t="s">
        <v>340</v>
      </c>
      <c r="D90" t="s">
        <v>145</v>
      </c>
      <c r="E90" t="s">
        <v>283</v>
      </c>
      <c r="F90">
        <v>16</v>
      </c>
      <c r="G90">
        <v>51.1</v>
      </c>
      <c r="H90">
        <v>35</v>
      </c>
      <c r="I90">
        <v>68.599999999999994</v>
      </c>
      <c r="J90">
        <v>411</v>
      </c>
      <c r="K90">
        <v>2</v>
      </c>
      <c r="L90">
        <v>0</v>
      </c>
      <c r="M90">
        <v>8.1</v>
      </c>
      <c r="N90">
        <v>11.7</v>
      </c>
      <c r="O90">
        <v>1</v>
      </c>
      <c r="P90">
        <v>4</v>
      </c>
      <c r="Q90">
        <v>0</v>
      </c>
      <c r="R90">
        <v>1</v>
      </c>
      <c r="S90">
        <v>1</v>
      </c>
      <c r="T90">
        <v>3.2</v>
      </c>
      <c r="U90">
        <v>51.5</v>
      </c>
      <c r="V90">
        <v>86.5</v>
      </c>
      <c r="W90">
        <f t="shared" si="3"/>
        <v>-8.5</v>
      </c>
    </row>
    <row r="91" spans="1:23" x14ac:dyDescent="0.25">
      <c r="A91">
        <f t="shared" si="2"/>
        <v>90</v>
      </c>
      <c r="B91">
        <v>14978</v>
      </c>
      <c r="C91" t="s">
        <v>855</v>
      </c>
      <c r="D91" t="s">
        <v>145</v>
      </c>
      <c r="E91" t="s">
        <v>783</v>
      </c>
      <c r="F91">
        <v>16</v>
      </c>
      <c r="G91">
        <v>51.2</v>
      </c>
      <c r="H91">
        <v>32</v>
      </c>
      <c r="I91">
        <v>62.7</v>
      </c>
      <c r="J91">
        <v>414</v>
      </c>
      <c r="K91">
        <v>2</v>
      </c>
      <c r="L91">
        <v>0</v>
      </c>
      <c r="M91">
        <v>8.1</v>
      </c>
      <c r="N91">
        <v>12.9</v>
      </c>
      <c r="O91">
        <v>0</v>
      </c>
      <c r="P91">
        <v>0</v>
      </c>
      <c r="Q91">
        <v>0</v>
      </c>
      <c r="R91">
        <v>0</v>
      </c>
      <c r="S91">
        <v>0</v>
      </c>
      <c r="T91">
        <v>3.3</v>
      </c>
      <c r="U91">
        <v>53.4</v>
      </c>
      <c r="V91">
        <v>85.4</v>
      </c>
      <c r="W91">
        <f t="shared" si="3"/>
        <v>-9.5999999999999943</v>
      </c>
    </row>
    <row r="92" spans="1:23" x14ac:dyDescent="0.25">
      <c r="A92">
        <f t="shared" si="2"/>
        <v>91</v>
      </c>
      <c r="B92">
        <v>9906</v>
      </c>
      <c r="C92" t="s">
        <v>561</v>
      </c>
      <c r="D92" t="s">
        <v>145</v>
      </c>
      <c r="E92" t="s">
        <v>430</v>
      </c>
      <c r="F92">
        <v>16</v>
      </c>
      <c r="G92">
        <v>60.6</v>
      </c>
      <c r="H92">
        <v>35</v>
      </c>
      <c r="I92">
        <v>57.4</v>
      </c>
      <c r="J92">
        <v>366</v>
      </c>
      <c r="K92">
        <v>2</v>
      </c>
      <c r="L92">
        <v>0</v>
      </c>
      <c r="M92">
        <v>6</v>
      </c>
      <c r="N92">
        <v>10.5</v>
      </c>
      <c r="O92">
        <v>1</v>
      </c>
      <c r="P92">
        <v>3</v>
      </c>
      <c r="Q92">
        <v>0</v>
      </c>
      <c r="R92">
        <v>1</v>
      </c>
      <c r="S92">
        <v>1</v>
      </c>
      <c r="T92">
        <v>2.9</v>
      </c>
      <c r="U92">
        <v>46.9</v>
      </c>
      <c r="V92">
        <v>81.899999999999991</v>
      </c>
      <c r="W92">
        <f t="shared" si="3"/>
        <v>-13.100000000000009</v>
      </c>
    </row>
    <row r="93" spans="1:23" x14ac:dyDescent="0.25">
      <c r="A93">
        <f t="shared" si="2"/>
        <v>92</v>
      </c>
      <c r="B93">
        <v>2950</v>
      </c>
      <c r="C93" t="s">
        <v>824</v>
      </c>
      <c r="D93" t="s">
        <v>145</v>
      </c>
      <c r="E93" t="s">
        <v>768</v>
      </c>
      <c r="F93">
        <v>16</v>
      </c>
      <c r="G93">
        <v>53.9</v>
      </c>
      <c r="H93">
        <v>31</v>
      </c>
      <c r="I93">
        <v>57.4</v>
      </c>
      <c r="J93">
        <v>353</v>
      </c>
      <c r="K93">
        <v>2</v>
      </c>
      <c r="L93">
        <v>0</v>
      </c>
      <c r="M93">
        <v>6.5</v>
      </c>
      <c r="N93">
        <v>11.4</v>
      </c>
      <c r="O93">
        <v>0</v>
      </c>
      <c r="P93">
        <v>0</v>
      </c>
      <c r="Q93">
        <v>0</v>
      </c>
      <c r="R93">
        <v>0</v>
      </c>
      <c r="S93">
        <v>0</v>
      </c>
      <c r="T93">
        <v>3</v>
      </c>
      <c r="U93">
        <v>47.3</v>
      </c>
      <c r="V93">
        <v>78.3</v>
      </c>
      <c r="W93">
        <f t="shared" si="3"/>
        <v>-16.700000000000003</v>
      </c>
    </row>
    <row r="94" spans="1:23" x14ac:dyDescent="0.25">
      <c r="A94">
        <f t="shared" si="2"/>
        <v>93.5</v>
      </c>
      <c r="B94">
        <v>16308</v>
      </c>
      <c r="C94" t="s">
        <v>530</v>
      </c>
      <c r="D94" t="s">
        <v>145</v>
      </c>
      <c r="E94" t="s">
        <v>411</v>
      </c>
      <c r="F94">
        <v>16</v>
      </c>
      <c r="G94">
        <v>43.8</v>
      </c>
      <c r="H94">
        <v>29</v>
      </c>
      <c r="I94">
        <v>65.900000000000006</v>
      </c>
      <c r="J94">
        <v>360</v>
      </c>
      <c r="K94">
        <v>2</v>
      </c>
      <c r="L94">
        <v>0</v>
      </c>
      <c r="M94">
        <v>8.1999999999999993</v>
      </c>
      <c r="N94">
        <v>12.4</v>
      </c>
      <c r="O94">
        <v>1</v>
      </c>
      <c r="P94">
        <v>8</v>
      </c>
      <c r="Q94">
        <v>0</v>
      </c>
      <c r="R94">
        <v>0</v>
      </c>
      <c r="S94">
        <v>0</v>
      </c>
      <c r="T94">
        <v>3</v>
      </c>
      <c r="U94">
        <v>48.8</v>
      </c>
      <c r="V94">
        <v>77.8</v>
      </c>
      <c r="W94">
        <f t="shared" si="3"/>
        <v>-17.200000000000003</v>
      </c>
    </row>
    <row r="95" spans="1:23" x14ac:dyDescent="0.25">
      <c r="A95">
        <f t="shared" si="2"/>
        <v>93.5</v>
      </c>
      <c r="B95">
        <v>15141</v>
      </c>
      <c r="C95" t="s">
        <v>555</v>
      </c>
      <c r="D95" t="s">
        <v>145</v>
      </c>
      <c r="E95" t="s">
        <v>426</v>
      </c>
      <c r="F95">
        <v>16</v>
      </c>
      <c r="G95">
        <v>47</v>
      </c>
      <c r="H95">
        <v>28</v>
      </c>
      <c r="I95">
        <v>59.6</v>
      </c>
      <c r="J95">
        <v>378</v>
      </c>
      <c r="K95">
        <v>2</v>
      </c>
      <c r="L95">
        <v>0</v>
      </c>
      <c r="M95">
        <v>8</v>
      </c>
      <c r="N95">
        <v>13.5</v>
      </c>
      <c r="O95">
        <v>0</v>
      </c>
      <c r="P95">
        <v>0</v>
      </c>
      <c r="Q95">
        <v>0</v>
      </c>
      <c r="R95">
        <v>0</v>
      </c>
      <c r="S95">
        <v>0</v>
      </c>
      <c r="T95">
        <v>3.1</v>
      </c>
      <c r="U95">
        <v>49.8</v>
      </c>
      <c r="V95">
        <v>77.8</v>
      </c>
      <c r="W95">
        <f t="shared" si="3"/>
        <v>-17.200000000000003</v>
      </c>
    </row>
    <row r="96" spans="1:23" x14ac:dyDescent="0.25">
      <c r="A96">
        <f t="shared" si="2"/>
        <v>95</v>
      </c>
      <c r="B96">
        <v>6302</v>
      </c>
      <c r="C96" t="s">
        <v>825</v>
      </c>
      <c r="D96" t="s">
        <v>145</v>
      </c>
      <c r="E96" t="s">
        <v>768</v>
      </c>
      <c r="F96">
        <v>16</v>
      </c>
      <c r="G96">
        <v>37</v>
      </c>
      <c r="H96">
        <v>28</v>
      </c>
      <c r="I96">
        <v>75.7</v>
      </c>
      <c r="J96">
        <v>336</v>
      </c>
      <c r="K96">
        <v>2</v>
      </c>
      <c r="L96">
        <v>0</v>
      </c>
      <c r="M96">
        <v>9.1</v>
      </c>
      <c r="N96">
        <v>12</v>
      </c>
      <c r="O96">
        <v>0</v>
      </c>
      <c r="P96">
        <v>0</v>
      </c>
      <c r="Q96">
        <v>0</v>
      </c>
      <c r="R96">
        <v>0</v>
      </c>
      <c r="S96">
        <v>0</v>
      </c>
      <c r="T96">
        <v>2.8</v>
      </c>
      <c r="U96">
        <v>45.6</v>
      </c>
      <c r="V96">
        <v>73.599999999999994</v>
      </c>
      <c r="W96">
        <f t="shared" si="3"/>
        <v>-21.400000000000006</v>
      </c>
    </row>
    <row r="97" spans="1:23" x14ac:dyDescent="0.25">
      <c r="A97">
        <f t="shared" si="2"/>
        <v>96</v>
      </c>
      <c r="B97">
        <v>16567</v>
      </c>
      <c r="C97" t="s">
        <v>692</v>
      </c>
      <c r="D97" t="s">
        <v>145</v>
      </c>
      <c r="E97" t="s">
        <v>631</v>
      </c>
      <c r="F97">
        <v>16</v>
      </c>
      <c r="G97">
        <v>41.8</v>
      </c>
      <c r="H97">
        <v>25</v>
      </c>
      <c r="I97">
        <v>59.5</v>
      </c>
      <c r="J97">
        <v>358</v>
      </c>
      <c r="K97">
        <v>2</v>
      </c>
      <c r="L97">
        <v>0</v>
      </c>
      <c r="M97">
        <v>8.5</v>
      </c>
      <c r="N97">
        <v>14.3</v>
      </c>
      <c r="O97">
        <v>0</v>
      </c>
      <c r="P97">
        <v>0</v>
      </c>
      <c r="Q97">
        <v>0</v>
      </c>
      <c r="R97">
        <v>0</v>
      </c>
      <c r="S97">
        <v>0</v>
      </c>
      <c r="T97">
        <v>3</v>
      </c>
      <c r="U97">
        <v>47.8</v>
      </c>
      <c r="V97">
        <v>72.8</v>
      </c>
      <c r="W97">
        <f t="shared" si="3"/>
        <v>-22.200000000000003</v>
      </c>
    </row>
    <row r="98" spans="1:23" x14ac:dyDescent="0.25">
      <c r="A98">
        <f t="shared" si="2"/>
        <v>97</v>
      </c>
      <c r="B98">
        <v>16258</v>
      </c>
      <c r="C98" t="s">
        <v>522</v>
      </c>
      <c r="D98" t="s">
        <v>145</v>
      </c>
      <c r="E98" t="s">
        <v>408</v>
      </c>
      <c r="F98">
        <v>16</v>
      </c>
      <c r="G98">
        <v>37.700000000000003</v>
      </c>
      <c r="H98">
        <v>26</v>
      </c>
      <c r="I98">
        <v>68.400000000000006</v>
      </c>
      <c r="J98">
        <v>331</v>
      </c>
      <c r="K98">
        <v>2</v>
      </c>
      <c r="L98">
        <v>0</v>
      </c>
      <c r="M98">
        <v>8.6999999999999993</v>
      </c>
      <c r="N98">
        <v>12.7</v>
      </c>
      <c r="O98">
        <v>2</v>
      </c>
      <c r="P98">
        <v>11</v>
      </c>
      <c r="Q98">
        <v>0</v>
      </c>
      <c r="R98">
        <v>0</v>
      </c>
      <c r="S98">
        <v>0</v>
      </c>
      <c r="T98">
        <v>2.9</v>
      </c>
      <c r="U98">
        <v>46.2</v>
      </c>
      <c r="V98">
        <v>72.199999999999989</v>
      </c>
      <c r="W98">
        <f t="shared" si="3"/>
        <v>-22.800000000000011</v>
      </c>
    </row>
    <row r="99" spans="1:23" x14ac:dyDescent="0.25">
      <c r="A99">
        <f t="shared" si="2"/>
        <v>98</v>
      </c>
      <c r="B99">
        <v>16480</v>
      </c>
      <c r="C99" t="s">
        <v>504</v>
      </c>
      <c r="D99" t="s">
        <v>145</v>
      </c>
      <c r="E99" t="s">
        <v>397</v>
      </c>
      <c r="F99">
        <v>16</v>
      </c>
      <c r="G99">
        <v>30.2</v>
      </c>
      <c r="H99">
        <v>21</v>
      </c>
      <c r="I99">
        <v>70</v>
      </c>
      <c r="J99">
        <v>319</v>
      </c>
      <c r="K99">
        <v>3</v>
      </c>
      <c r="L99">
        <v>0</v>
      </c>
      <c r="M99">
        <v>10.6</v>
      </c>
      <c r="N99">
        <v>15.2</v>
      </c>
      <c r="O99">
        <v>0</v>
      </c>
      <c r="P99">
        <v>0</v>
      </c>
      <c r="Q99">
        <v>0</v>
      </c>
      <c r="R99">
        <v>0</v>
      </c>
      <c r="S99">
        <v>0</v>
      </c>
      <c r="T99">
        <v>3.1</v>
      </c>
      <c r="U99">
        <v>49.9</v>
      </c>
      <c r="V99">
        <v>70.900000000000006</v>
      </c>
      <c r="W99">
        <f t="shared" si="3"/>
        <v>-24.099999999999994</v>
      </c>
    </row>
    <row r="100" spans="1:23" x14ac:dyDescent="0.25">
      <c r="A100">
        <f t="shared" si="2"/>
        <v>99</v>
      </c>
      <c r="B100">
        <v>16899</v>
      </c>
      <c r="C100" t="s">
        <v>523</v>
      </c>
      <c r="D100" t="s">
        <v>145</v>
      </c>
      <c r="E100" t="s">
        <v>408</v>
      </c>
      <c r="F100">
        <v>16</v>
      </c>
      <c r="G100">
        <v>38.9</v>
      </c>
      <c r="H100">
        <v>28</v>
      </c>
      <c r="I100">
        <v>71.8</v>
      </c>
      <c r="J100">
        <v>288</v>
      </c>
      <c r="K100">
        <v>2</v>
      </c>
      <c r="L100">
        <v>0</v>
      </c>
      <c r="M100">
        <v>7.4</v>
      </c>
      <c r="N100">
        <v>10.3</v>
      </c>
      <c r="O100">
        <v>0.3</v>
      </c>
      <c r="P100">
        <v>1</v>
      </c>
      <c r="Q100">
        <v>0</v>
      </c>
      <c r="R100">
        <v>0</v>
      </c>
      <c r="S100">
        <v>0</v>
      </c>
      <c r="T100">
        <v>2.6</v>
      </c>
      <c r="U100">
        <v>40.9</v>
      </c>
      <c r="V100">
        <v>68.899999999999991</v>
      </c>
      <c r="W100">
        <f t="shared" si="3"/>
        <v>-26.100000000000009</v>
      </c>
    </row>
    <row r="101" spans="1:23" x14ac:dyDescent="0.25">
      <c r="A101">
        <f t="shared" si="2"/>
        <v>100</v>
      </c>
      <c r="B101">
        <v>14242</v>
      </c>
      <c r="C101" t="s">
        <v>717</v>
      </c>
      <c r="D101" t="s">
        <v>145</v>
      </c>
      <c r="E101" t="s">
        <v>107</v>
      </c>
      <c r="F101">
        <v>16</v>
      </c>
      <c r="G101">
        <v>33.799999999999997</v>
      </c>
      <c r="H101">
        <v>25</v>
      </c>
      <c r="I101">
        <v>73.5</v>
      </c>
      <c r="J101">
        <v>318</v>
      </c>
      <c r="K101">
        <v>2</v>
      </c>
      <c r="L101">
        <v>0</v>
      </c>
      <c r="M101">
        <v>9.4</v>
      </c>
      <c r="N101">
        <v>12.7</v>
      </c>
      <c r="O101">
        <v>0</v>
      </c>
      <c r="P101">
        <v>0</v>
      </c>
      <c r="Q101">
        <v>0</v>
      </c>
      <c r="R101">
        <v>0</v>
      </c>
      <c r="S101">
        <v>0</v>
      </c>
      <c r="T101">
        <v>2.7</v>
      </c>
      <c r="U101">
        <v>43.8</v>
      </c>
      <c r="V101">
        <v>68.8</v>
      </c>
      <c r="W101">
        <f t="shared" si="3"/>
        <v>-26.200000000000003</v>
      </c>
    </row>
    <row r="102" spans="1:23" x14ac:dyDescent="0.25">
      <c r="A102">
        <f t="shared" si="2"/>
        <v>101</v>
      </c>
      <c r="B102">
        <v>13693</v>
      </c>
      <c r="C102" t="s">
        <v>341</v>
      </c>
      <c r="D102" t="s">
        <v>145</v>
      </c>
      <c r="E102" t="s">
        <v>283</v>
      </c>
      <c r="F102">
        <v>16</v>
      </c>
      <c r="G102">
        <v>33.1</v>
      </c>
      <c r="H102">
        <v>23</v>
      </c>
      <c r="I102">
        <v>69.7</v>
      </c>
      <c r="J102">
        <v>306</v>
      </c>
      <c r="K102">
        <v>2</v>
      </c>
      <c r="L102">
        <v>0</v>
      </c>
      <c r="M102">
        <v>9.3000000000000007</v>
      </c>
      <c r="N102">
        <v>13.3</v>
      </c>
      <c r="O102">
        <v>3</v>
      </c>
      <c r="P102">
        <v>20</v>
      </c>
      <c r="Q102">
        <v>0</v>
      </c>
      <c r="R102">
        <v>0</v>
      </c>
      <c r="S102">
        <v>0</v>
      </c>
      <c r="T102">
        <v>2.8</v>
      </c>
      <c r="U102">
        <v>44.6</v>
      </c>
      <c r="V102">
        <v>67.599999999999994</v>
      </c>
      <c r="W102">
        <f t="shared" si="3"/>
        <v>-27.400000000000006</v>
      </c>
    </row>
    <row r="103" spans="1:23" x14ac:dyDescent="0.25">
      <c r="A103">
        <f t="shared" si="2"/>
        <v>102</v>
      </c>
      <c r="B103">
        <v>14424</v>
      </c>
      <c r="C103" t="s">
        <v>540</v>
      </c>
      <c r="D103" t="s">
        <v>145</v>
      </c>
      <c r="E103" t="s">
        <v>417</v>
      </c>
      <c r="F103">
        <v>16</v>
      </c>
      <c r="G103">
        <v>32</v>
      </c>
      <c r="H103">
        <v>23</v>
      </c>
      <c r="I103">
        <v>71.900000000000006</v>
      </c>
      <c r="J103">
        <v>317</v>
      </c>
      <c r="K103">
        <v>2</v>
      </c>
      <c r="L103">
        <v>0</v>
      </c>
      <c r="M103">
        <v>9.9</v>
      </c>
      <c r="N103">
        <v>13.8</v>
      </c>
      <c r="O103">
        <v>0.3</v>
      </c>
      <c r="P103">
        <v>1</v>
      </c>
      <c r="Q103">
        <v>0</v>
      </c>
      <c r="R103">
        <v>0</v>
      </c>
      <c r="S103">
        <v>0</v>
      </c>
      <c r="T103">
        <v>2.7</v>
      </c>
      <c r="U103">
        <v>43.8</v>
      </c>
      <c r="V103">
        <v>66.8</v>
      </c>
      <c r="W103">
        <f t="shared" si="3"/>
        <v>-28.200000000000003</v>
      </c>
    </row>
    <row r="104" spans="1:23" x14ac:dyDescent="0.25">
      <c r="A104">
        <f t="shared" si="2"/>
        <v>103</v>
      </c>
      <c r="B104">
        <v>16919</v>
      </c>
      <c r="C104" t="s">
        <v>148</v>
      </c>
      <c r="D104" t="s">
        <v>145</v>
      </c>
      <c r="E104" t="s">
        <v>135</v>
      </c>
      <c r="F104">
        <v>16</v>
      </c>
      <c r="G104">
        <v>34</v>
      </c>
      <c r="H104">
        <v>21</v>
      </c>
      <c r="I104">
        <v>61.8</v>
      </c>
      <c r="J104">
        <v>369</v>
      </c>
      <c r="K104">
        <v>2</v>
      </c>
      <c r="L104">
        <v>0</v>
      </c>
      <c r="M104">
        <v>10.9</v>
      </c>
      <c r="N104">
        <v>17.600000000000001</v>
      </c>
      <c r="O104">
        <v>1</v>
      </c>
      <c r="P104">
        <v>3</v>
      </c>
      <c r="Q104">
        <v>0</v>
      </c>
      <c r="R104">
        <v>2</v>
      </c>
      <c r="S104">
        <v>2</v>
      </c>
      <c r="T104">
        <v>2.8</v>
      </c>
      <c r="U104">
        <v>45.2</v>
      </c>
      <c r="V104">
        <v>66.2</v>
      </c>
      <c r="W104">
        <f t="shared" si="3"/>
        <v>-28.799999999999997</v>
      </c>
    </row>
    <row r="105" spans="1:23" x14ac:dyDescent="0.25">
      <c r="A105">
        <f t="shared" si="2"/>
        <v>104</v>
      </c>
      <c r="B105">
        <v>16553</v>
      </c>
      <c r="C105" t="s">
        <v>241</v>
      </c>
      <c r="D105" t="s">
        <v>145</v>
      </c>
      <c r="E105" t="s">
        <v>176</v>
      </c>
      <c r="F105">
        <v>16</v>
      </c>
      <c r="G105">
        <v>31.7</v>
      </c>
      <c r="H105">
        <v>21</v>
      </c>
      <c r="I105">
        <v>65.599999999999994</v>
      </c>
      <c r="J105">
        <v>302</v>
      </c>
      <c r="K105">
        <v>2</v>
      </c>
      <c r="L105">
        <v>0</v>
      </c>
      <c r="M105">
        <v>9.4</v>
      </c>
      <c r="N105">
        <v>14.4</v>
      </c>
      <c r="O105">
        <v>2</v>
      </c>
      <c r="P105">
        <v>14</v>
      </c>
      <c r="Q105">
        <v>0</v>
      </c>
      <c r="R105">
        <v>0</v>
      </c>
      <c r="S105">
        <v>0</v>
      </c>
      <c r="T105">
        <v>2.7</v>
      </c>
      <c r="U105">
        <v>43.6</v>
      </c>
      <c r="V105">
        <v>64.600000000000009</v>
      </c>
      <c r="W105">
        <f t="shared" si="3"/>
        <v>-30.399999999999991</v>
      </c>
    </row>
    <row r="106" spans="1:23" x14ac:dyDescent="0.25">
      <c r="A106">
        <f t="shared" si="2"/>
        <v>105</v>
      </c>
      <c r="B106">
        <v>16063</v>
      </c>
      <c r="C106" t="s">
        <v>704</v>
      </c>
      <c r="D106" t="s">
        <v>145</v>
      </c>
      <c r="E106" t="s">
        <v>639</v>
      </c>
      <c r="F106">
        <v>16</v>
      </c>
      <c r="G106">
        <v>36.5</v>
      </c>
      <c r="H106">
        <v>24</v>
      </c>
      <c r="I106">
        <v>66.7</v>
      </c>
      <c r="J106">
        <v>328</v>
      </c>
      <c r="K106">
        <v>1</v>
      </c>
      <c r="L106">
        <v>0</v>
      </c>
      <c r="M106">
        <v>9.1</v>
      </c>
      <c r="N106">
        <v>13.7</v>
      </c>
      <c r="O106">
        <v>0</v>
      </c>
      <c r="P106">
        <v>0</v>
      </c>
      <c r="Q106">
        <v>0</v>
      </c>
      <c r="R106">
        <v>0</v>
      </c>
      <c r="S106">
        <v>0</v>
      </c>
      <c r="T106">
        <v>2.4</v>
      </c>
      <c r="U106">
        <v>38.799999999999997</v>
      </c>
      <c r="V106">
        <v>62.8</v>
      </c>
      <c r="W106">
        <f t="shared" si="3"/>
        <v>-32.200000000000003</v>
      </c>
    </row>
    <row r="107" spans="1:23" x14ac:dyDescent="0.25">
      <c r="A107">
        <f t="shared" si="2"/>
        <v>106</v>
      </c>
      <c r="B107">
        <v>18014</v>
      </c>
      <c r="C107" t="s">
        <v>548</v>
      </c>
      <c r="D107" t="s">
        <v>145</v>
      </c>
      <c r="E107" t="s">
        <v>421</v>
      </c>
      <c r="F107">
        <v>16</v>
      </c>
      <c r="G107">
        <v>36.1</v>
      </c>
      <c r="H107">
        <v>22</v>
      </c>
      <c r="I107">
        <v>61.1</v>
      </c>
      <c r="J107">
        <v>307</v>
      </c>
      <c r="K107">
        <v>2</v>
      </c>
      <c r="L107">
        <v>0</v>
      </c>
      <c r="M107">
        <v>8.5</v>
      </c>
      <c r="N107">
        <v>14</v>
      </c>
      <c r="O107">
        <v>0</v>
      </c>
      <c r="P107">
        <v>0</v>
      </c>
      <c r="Q107">
        <v>0</v>
      </c>
      <c r="R107">
        <v>1</v>
      </c>
      <c r="S107">
        <v>1</v>
      </c>
      <c r="T107">
        <v>2.5</v>
      </c>
      <c r="U107">
        <v>40.700000000000003</v>
      </c>
      <c r="V107">
        <v>62.7</v>
      </c>
      <c r="W107">
        <f t="shared" si="3"/>
        <v>-32.299999999999997</v>
      </c>
    </row>
    <row r="108" spans="1:23" x14ac:dyDescent="0.25">
      <c r="A108">
        <f t="shared" si="2"/>
        <v>107</v>
      </c>
      <c r="B108">
        <v>16855</v>
      </c>
      <c r="C108" t="s">
        <v>505</v>
      </c>
      <c r="D108" t="s">
        <v>145</v>
      </c>
      <c r="E108" t="s">
        <v>397</v>
      </c>
      <c r="F108">
        <v>16</v>
      </c>
      <c r="G108">
        <v>32.200000000000003</v>
      </c>
      <c r="H108">
        <v>23</v>
      </c>
      <c r="I108">
        <v>71.900000000000006</v>
      </c>
      <c r="J108">
        <v>249</v>
      </c>
      <c r="K108">
        <v>2</v>
      </c>
      <c r="L108">
        <v>0</v>
      </c>
      <c r="M108">
        <v>7.8</v>
      </c>
      <c r="N108">
        <v>10.8</v>
      </c>
      <c r="O108">
        <v>5</v>
      </c>
      <c r="P108">
        <v>25</v>
      </c>
      <c r="Q108">
        <v>0</v>
      </c>
      <c r="R108">
        <v>0</v>
      </c>
      <c r="S108">
        <v>0</v>
      </c>
      <c r="T108">
        <v>2.5</v>
      </c>
      <c r="U108">
        <v>39.4</v>
      </c>
      <c r="V108">
        <v>62.4</v>
      </c>
      <c r="W108">
        <f t="shared" si="3"/>
        <v>-32.6</v>
      </c>
    </row>
    <row r="109" spans="1:23" x14ac:dyDescent="0.25">
      <c r="A109">
        <f t="shared" si="2"/>
        <v>108</v>
      </c>
      <c r="B109">
        <v>13002</v>
      </c>
      <c r="C109" t="s">
        <v>511</v>
      </c>
      <c r="D109" t="s">
        <v>145</v>
      </c>
      <c r="E109" t="s">
        <v>400</v>
      </c>
      <c r="F109">
        <v>16</v>
      </c>
      <c r="G109">
        <v>39.200000000000003</v>
      </c>
      <c r="H109">
        <v>27</v>
      </c>
      <c r="I109">
        <v>69.2</v>
      </c>
      <c r="J109">
        <v>309</v>
      </c>
      <c r="K109">
        <v>1</v>
      </c>
      <c r="L109">
        <v>0</v>
      </c>
      <c r="M109">
        <v>7.9</v>
      </c>
      <c r="N109">
        <v>11.4</v>
      </c>
      <c r="O109">
        <v>1</v>
      </c>
      <c r="P109">
        <v>4</v>
      </c>
      <c r="Q109">
        <v>0</v>
      </c>
      <c r="R109">
        <v>1</v>
      </c>
      <c r="S109">
        <v>1</v>
      </c>
      <c r="T109">
        <v>2.2000000000000002</v>
      </c>
      <c r="U109">
        <v>35.299999999999997</v>
      </c>
      <c r="V109">
        <v>62.3</v>
      </c>
      <c r="W109">
        <f t="shared" si="3"/>
        <v>-32.700000000000003</v>
      </c>
    </row>
    <row r="110" spans="1:23" x14ac:dyDescent="0.25">
      <c r="A110">
        <f t="shared" si="2"/>
        <v>109</v>
      </c>
      <c r="B110">
        <v>18034</v>
      </c>
      <c r="C110" t="s">
        <v>562</v>
      </c>
      <c r="D110" t="s">
        <v>145</v>
      </c>
      <c r="E110" t="s">
        <v>430</v>
      </c>
      <c r="F110">
        <v>16</v>
      </c>
      <c r="G110">
        <v>28.8</v>
      </c>
      <c r="H110">
        <v>21</v>
      </c>
      <c r="I110">
        <v>72.400000000000006</v>
      </c>
      <c r="J110">
        <v>280</v>
      </c>
      <c r="K110">
        <v>2</v>
      </c>
      <c r="L110">
        <v>0</v>
      </c>
      <c r="M110">
        <v>9.6999999999999993</v>
      </c>
      <c r="N110">
        <v>13.3</v>
      </c>
      <c r="O110">
        <v>0</v>
      </c>
      <c r="P110">
        <v>0</v>
      </c>
      <c r="Q110">
        <v>0</v>
      </c>
      <c r="R110">
        <v>0</v>
      </c>
      <c r="S110">
        <v>0</v>
      </c>
      <c r="T110">
        <v>2.5</v>
      </c>
      <c r="U110">
        <v>40</v>
      </c>
      <c r="V110">
        <v>61</v>
      </c>
      <c r="W110">
        <f t="shared" si="3"/>
        <v>-34</v>
      </c>
    </row>
    <row r="111" spans="1:23" x14ac:dyDescent="0.25">
      <c r="A111">
        <f t="shared" si="2"/>
        <v>110</v>
      </c>
      <c r="B111">
        <v>16798</v>
      </c>
      <c r="C111" t="s">
        <v>705</v>
      </c>
      <c r="D111" t="s">
        <v>145</v>
      </c>
      <c r="E111" t="s">
        <v>639</v>
      </c>
      <c r="F111">
        <v>16</v>
      </c>
      <c r="G111">
        <v>31.7</v>
      </c>
      <c r="H111">
        <v>21</v>
      </c>
      <c r="I111">
        <v>65.599999999999994</v>
      </c>
      <c r="J111">
        <v>284</v>
      </c>
      <c r="K111">
        <v>2</v>
      </c>
      <c r="L111">
        <v>0</v>
      </c>
      <c r="M111">
        <v>8.9</v>
      </c>
      <c r="N111">
        <v>13.5</v>
      </c>
      <c r="O111">
        <v>0</v>
      </c>
      <c r="P111">
        <v>0</v>
      </c>
      <c r="Q111">
        <v>0</v>
      </c>
      <c r="R111">
        <v>1</v>
      </c>
      <c r="S111">
        <v>1</v>
      </c>
      <c r="T111">
        <v>2.4</v>
      </c>
      <c r="U111">
        <v>38.4</v>
      </c>
      <c r="V111">
        <v>59.4</v>
      </c>
      <c r="W111">
        <f t="shared" si="3"/>
        <v>-35.6</v>
      </c>
    </row>
    <row r="112" spans="1:23" x14ac:dyDescent="0.25">
      <c r="A112">
        <f t="shared" si="2"/>
        <v>111</v>
      </c>
      <c r="B112">
        <v>16728</v>
      </c>
      <c r="C112" t="s">
        <v>826</v>
      </c>
      <c r="D112" t="s">
        <v>145</v>
      </c>
      <c r="E112" t="s">
        <v>768</v>
      </c>
      <c r="F112">
        <v>16</v>
      </c>
      <c r="G112">
        <v>36.1</v>
      </c>
      <c r="H112">
        <v>21</v>
      </c>
      <c r="I112">
        <v>58.3</v>
      </c>
      <c r="J112">
        <v>278</v>
      </c>
      <c r="K112">
        <v>2</v>
      </c>
      <c r="L112">
        <v>0</v>
      </c>
      <c r="M112">
        <v>7.7</v>
      </c>
      <c r="N112">
        <v>13.2</v>
      </c>
      <c r="O112">
        <v>0</v>
      </c>
      <c r="P112">
        <v>0</v>
      </c>
      <c r="Q112">
        <v>0</v>
      </c>
      <c r="R112">
        <v>1</v>
      </c>
      <c r="S112">
        <v>1</v>
      </c>
      <c r="T112">
        <v>2.4</v>
      </c>
      <c r="U112">
        <v>37.799999999999997</v>
      </c>
      <c r="V112">
        <v>58.8</v>
      </c>
      <c r="W112">
        <f t="shared" si="3"/>
        <v>-36.200000000000003</v>
      </c>
    </row>
    <row r="113" spans="1:23" x14ac:dyDescent="0.25">
      <c r="A113">
        <f t="shared" si="2"/>
        <v>112</v>
      </c>
      <c r="B113">
        <v>16922</v>
      </c>
      <c r="C113" t="s">
        <v>845</v>
      </c>
      <c r="D113" t="s">
        <v>145</v>
      </c>
      <c r="E113" t="s">
        <v>779</v>
      </c>
      <c r="F113">
        <v>16</v>
      </c>
      <c r="G113">
        <v>28</v>
      </c>
      <c r="H113">
        <v>20</v>
      </c>
      <c r="I113">
        <v>71.400000000000006</v>
      </c>
      <c r="J113">
        <v>260</v>
      </c>
      <c r="K113">
        <v>2</v>
      </c>
      <c r="L113">
        <v>0</v>
      </c>
      <c r="M113">
        <v>9.3000000000000007</v>
      </c>
      <c r="N113">
        <v>13</v>
      </c>
      <c r="O113">
        <v>0</v>
      </c>
      <c r="P113">
        <v>0</v>
      </c>
      <c r="Q113">
        <v>0</v>
      </c>
      <c r="R113">
        <v>0</v>
      </c>
      <c r="S113">
        <v>0</v>
      </c>
      <c r="T113">
        <v>2.4</v>
      </c>
      <c r="U113">
        <v>38</v>
      </c>
      <c r="V113">
        <v>58</v>
      </c>
      <c r="W113">
        <f t="shared" si="3"/>
        <v>-37</v>
      </c>
    </row>
    <row r="114" spans="1:23" x14ac:dyDescent="0.25">
      <c r="A114">
        <f t="shared" si="2"/>
        <v>113</v>
      </c>
      <c r="B114">
        <v>13117</v>
      </c>
      <c r="C114" t="s">
        <v>699</v>
      </c>
      <c r="D114" t="s">
        <v>145</v>
      </c>
      <c r="E114" t="s">
        <v>635</v>
      </c>
      <c r="F114">
        <v>16</v>
      </c>
      <c r="G114">
        <v>35.5</v>
      </c>
      <c r="H114">
        <v>24</v>
      </c>
      <c r="I114">
        <v>66.7</v>
      </c>
      <c r="J114">
        <v>281</v>
      </c>
      <c r="K114">
        <v>1</v>
      </c>
      <c r="L114">
        <v>0</v>
      </c>
      <c r="M114">
        <v>7.8</v>
      </c>
      <c r="N114">
        <v>11.7</v>
      </c>
      <c r="O114">
        <v>1</v>
      </c>
      <c r="P114">
        <v>3</v>
      </c>
      <c r="Q114">
        <v>0</v>
      </c>
      <c r="R114">
        <v>1</v>
      </c>
      <c r="S114">
        <v>1</v>
      </c>
      <c r="T114">
        <v>2</v>
      </c>
      <c r="U114">
        <v>32.4</v>
      </c>
      <c r="V114">
        <v>56.4</v>
      </c>
      <c r="W114">
        <f t="shared" si="3"/>
        <v>-38.6</v>
      </c>
    </row>
    <row r="115" spans="1:23" x14ac:dyDescent="0.25">
      <c r="A115">
        <f t="shared" si="2"/>
        <v>114</v>
      </c>
      <c r="B115">
        <v>18154</v>
      </c>
      <c r="C115" t="s">
        <v>210</v>
      </c>
      <c r="D115" t="s">
        <v>145</v>
      </c>
      <c r="E115" t="s">
        <v>162</v>
      </c>
      <c r="F115">
        <v>16</v>
      </c>
      <c r="G115">
        <v>32.5</v>
      </c>
      <c r="H115">
        <v>19</v>
      </c>
      <c r="I115">
        <v>59.4</v>
      </c>
      <c r="J115">
        <v>245</v>
      </c>
      <c r="K115">
        <v>2</v>
      </c>
      <c r="L115">
        <v>0</v>
      </c>
      <c r="M115">
        <v>7.7</v>
      </c>
      <c r="N115">
        <v>12.9</v>
      </c>
      <c r="O115">
        <v>0</v>
      </c>
      <c r="P115">
        <v>0</v>
      </c>
      <c r="Q115">
        <v>0</v>
      </c>
      <c r="R115">
        <v>0</v>
      </c>
      <c r="S115">
        <v>0</v>
      </c>
      <c r="T115">
        <v>2.2999999999999998</v>
      </c>
      <c r="U115">
        <v>36.5</v>
      </c>
      <c r="V115">
        <v>55.5</v>
      </c>
      <c r="W115">
        <f t="shared" si="3"/>
        <v>-39.5</v>
      </c>
    </row>
    <row r="116" spans="1:23" x14ac:dyDescent="0.25">
      <c r="A116">
        <f t="shared" si="2"/>
        <v>115</v>
      </c>
      <c r="B116">
        <v>13162</v>
      </c>
      <c r="C116" t="s">
        <v>229</v>
      </c>
      <c r="D116" t="s">
        <v>145</v>
      </c>
      <c r="E116" t="s">
        <v>172</v>
      </c>
      <c r="F116">
        <v>16</v>
      </c>
      <c r="G116">
        <v>33.1</v>
      </c>
      <c r="H116">
        <v>19</v>
      </c>
      <c r="I116">
        <v>57.6</v>
      </c>
      <c r="J116">
        <v>225</v>
      </c>
      <c r="K116">
        <v>2</v>
      </c>
      <c r="L116">
        <v>0</v>
      </c>
      <c r="M116">
        <v>6.8</v>
      </c>
      <c r="N116">
        <v>11.8</v>
      </c>
      <c r="O116">
        <v>0</v>
      </c>
      <c r="P116">
        <v>0</v>
      </c>
      <c r="Q116">
        <v>0</v>
      </c>
      <c r="R116">
        <v>0</v>
      </c>
      <c r="S116">
        <v>0</v>
      </c>
      <c r="T116">
        <v>2.2000000000000002</v>
      </c>
      <c r="U116">
        <v>34.5</v>
      </c>
      <c r="V116">
        <v>53.5</v>
      </c>
      <c r="W116">
        <f t="shared" si="3"/>
        <v>-41.5</v>
      </c>
    </row>
    <row r="117" spans="1:23" x14ac:dyDescent="0.25">
      <c r="A117">
        <f t="shared" si="2"/>
        <v>116</v>
      </c>
      <c r="B117">
        <v>18039</v>
      </c>
      <c r="C117" t="s">
        <v>541</v>
      </c>
      <c r="D117" t="s">
        <v>145</v>
      </c>
      <c r="E117" t="s">
        <v>417</v>
      </c>
      <c r="F117">
        <v>16</v>
      </c>
      <c r="G117">
        <v>35.1</v>
      </c>
      <c r="H117">
        <v>21</v>
      </c>
      <c r="I117">
        <v>60</v>
      </c>
      <c r="J117">
        <v>242</v>
      </c>
      <c r="K117">
        <v>1</v>
      </c>
      <c r="L117">
        <v>0</v>
      </c>
      <c r="M117">
        <v>6.9</v>
      </c>
      <c r="N117">
        <v>11.5</v>
      </c>
      <c r="O117">
        <v>5</v>
      </c>
      <c r="P117">
        <v>31</v>
      </c>
      <c r="Q117">
        <v>0</v>
      </c>
      <c r="R117">
        <v>1</v>
      </c>
      <c r="S117">
        <v>1</v>
      </c>
      <c r="T117">
        <v>2</v>
      </c>
      <c r="U117">
        <v>31.3</v>
      </c>
      <c r="V117">
        <v>52.300000000000004</v>
      </c>
      <c r="W117">
        <f t="shared" si="3"/>
        <v>-42.699999999999996</v>
      </c>
    </row>
    <row r="118" spans="1:23" x14ac:dyDescent="0.25">
      <c r="A118">
        <f t="shared" si="2"/>
        <v>117</v>
      </c>
      <c r="B118">
        <v>16276</v>
      </c>
      <c r="C118" t="s">
        <v>357</v>
      </c>
      <c r="D118" t="s">
        <v>145</v>
      </c>
      <c r="E118" t="s">
        <v>292</v>
      </c>
      <c r="F118">
        <v>16</v>
      </c>
      <c r="G118">
        <v>34.9</v>
      </c>
      <c r="H118">
        <v>21</v>
      </c>
      <c r="I118">
        <v>60</v>
      </c>
      <c r="J118">
        <v>250</v>
      </c>
      <c r="K118">
        <v>1</v>
      </c>
      <c r="L118">
        <v>0</v>
      </c>
      <c r="M118">
        <v>7.1</v>
      </c>
      <c r="N118">
        <v>11.9</v>
      </c>
      <c r="O118">
        <v>0</v>
      </c>
      <c r="P118">
        <v>0</v>
      </c>
      <c r="Q118">
        <v>0</v>
      </c>
      <c r="R118">
        <v>0</v>
      </c>
      <c r="S118">
        <v>0</v>
      </c>
      <c r="T118">
        <v>1.9</v>
      </c>
      <c r="U118">
        <v>31</v>
      </c>
      <c r="V118">
        <v>52</v>
      </c>
      <c r="W118">
        <f t="shared" si="3"/>
        <v>-43</v>
      </c>
    </row>
    <row r="119" spans="1:23" x14ac:dyDescent="0.25">
      <c r="A119">
        <f t="shared" si="2"/>
        <v>118</v>
      </c>
      <c r="B119">
        <v>17964</v>
      </c>
      <c r="C119" t="s">
        <v>512</v>
      </c>
      <c r="D119" t="s">
        <v>145</v>
      </c>
      <c r="E119" t="s">
        <v>400</v>
      </c>
      <c r="F119">
        <v>16</v>
      </c>
      <c r="G119">
        <v>30</v>
      </c>
      <c r="H119">
        <v>19</v>
      </c>
      <c r="I119">
        <v>63.3</v>
      </c>
      <c r="J119">
        <v>231</v>
      </c>
      <c r="K119">
        <v>1</v>
      </c>
      <c r="L119">
        <v>0</v>
      </c>
      <c r="M119">
        <v>7.7</v>
      </c>
      <c r="N119">
        <v>12.2</v>
      </c>
      <c r="O119">
        <v>9</v>
      </c>
      <c r="P119">
        <v>47</v>
      </c>
      <c r="Q119">
        <v>0</v>
      </c>
      <c r="R119">
        <v>1</v>
      </c>
      <c r="S119">
        <v>1</v>
      </c>
      <c r="T119">
        <v>2</v>
      </c>
      <c r="U119">
        <v>31.8</v>
      </c>
      <c r="V119">
        <v>50.800000000000004</v>
      </c>
      <c r="W119">
        <f t="shared" si="3"/>
        <v>-44.199999999999996</v>
      </c>
    </row>
    <row r="120" spans="1:23" x14ac:dyDescent="0.25">
      <c r="A120">
        <f t="shared" si="2"/>
        <v>119</v>
      </c>
      <c r="B120">
        <v>17290</v>
      </c>
      <c r="C120" t="s">
        <v>846</v>
      </c>
      <c r="D120" t="s">
        <v>145</v>
      </c>
      <c r="E120" t="s">
        <v>779</v>
      </c>
      <c r="F120">
        <v>16</v>
      </c>
      <c r="G120">
        <v>31.9</v>
      </c>
      <c r="H120">
        <v>21</v>
      </c>
      <c r="I120">
        <v>65.599999999999994</v>
      </c>
      <c r="J120">
        <v>223</v>
      </c>
      <c r="K120">
        <v>1</v>
      </c>
      <c r="L120">
        <v>0</v>
      </c>
      <c r="M120">
        <v>7</v>
      </c>
      <c r="N120">
        <v>10.6</v>
      </c>
      <c r="O120">
        <v>0</v>
      </c>
      <c r="P120">
        <v>0</v>
      </c>
      <c r="Q120">
        <v>0</v>
      </c>
      <c r="R120">
        <v>0</v>
      </c>
      <c r="S120">
        <v>0</v>
      </c>
      <c r="T120">
        <v>1.8</v>
      </c>
      <c r="U120">
        <v>28.3</v>
      </c>
      <c r="V120">
        <v>49.3</v>
      </c>
      <c r="W120">
        <f t="shared" si="3"/>
        <v>-45.7</v>
      </c>
    </row>
    <row r="121" spans="1:23" x14ac:dyDescent="0.25">
      <c r="A121">
        <f t="shared" si="2"/>
        <v>120</v>
      </c>
      <c r="B121">
        <v>8771</v>
      </c>
      <c r="C121" t="s">
        <v>725</v>
      </c>
      <c r="D121" t="s">
        <v>145</v>
      </c>
      <c r="E121" t="s">
        <v>648</v>
      </c>
      <c r="F121">
        <v>16</v>
      </c>
      <c r="G121">
        <v>31.5</v>
      </c>
      <c r="H121">
        <v>18</v>
      </c>
      <c r="I121">
        <v>56.2</v>
      </c>
      <c r="J121">
        <v>251</v>
      </c>
      <c r="K121">
        <v>1</v>
      </c>
      <c r="L121">
        <v>0</v>
      </c>
      <c r="M121">
        <v>7.8</v>
      </c>
      <c r="N121">
        <v>13.9</v>
      </c>
      <c r="O121">
        <v>0</v>
      </c>
      <c r="P121">
        <v>0</v>
      </c>
      <c r="Q121">
        <v>0</v>
      </c>
      <c r="R121">
        <v>0</v>
      </c>
      <c r="S121">
        <v>0</v>
      </c>
      <c r="T121">
        <v>1.9</v>
      </c>
      <c r="U121">
        <v>31.1</v>
      </c>
      <c r="V121">
        <v>49.1</v>
      </c>
      <c r="W121">
        <f t="shared" si="3"/>
        <v>-45.9</v>
      </c>
    </row>
    <row r="122" spans="1:23" x14ac:dyDescent="0.25">
      <c r="A122">
        <f t="shared" si="2"/>
        <v>121</v>
      </c>
      <c r="B122">
        <v>15971</v>
      </c>
      <c r="C122" t="s">
        <v>718</v>
      </c>
      <c r="D122" t="s">
        <v>145</v>
      </c>
      <c r="E122" t="s">
        <v>107</v>
      </c>
      <c r="F122">
        <v>16</v>
      </c>
      <c r="G122">
        <v>29.8</v>
      </c>
      <c r="H122">
        <v>20</v>
      </c>
      <c r="I122">
        <v>66.7</v>
      </c>
      <c r="J122">
        <v>238</v>
      </c>
      <c r="K122">
        <v>1</v>
      </c>
      <c r="L122">
        <v>0</v>
      </c>
      <c r="M122">
        <v>7.9</v>
      </c>
      <c r="N122">
        <v>11.9</v>
      </c>
      <c r="O122">
        <v>0.3</v>
      </c>
      <c r="P122">
        <v>1</v>
      </c>
      <c r="Q122">
        <v>0</v>
      </c>
      <c r="R122">
        <v>1</v>
      </c>
      <c r="S122">
        <v>1</v>
      </c>
      <c r="T122">
        <v>1.7</v>
      </c>
      <c r="U122">
        <v>27.9</v>
      </c>
      <c r="V122">
        <v>47.9</v>
      </c>
      <c r="W122">
        <f t="shared" si="3"/>
        <v>-47.1</v>
      </c>
    </row>
    <row r="123" spans="1:23" x14ac:dyDescent="0.25">
      <c r="A123">
        <f t="shared" si="2"/>
        <v>122</v>
      </c>
      <c r="B123">
        <v>15118</v>
      </c>
      <c r="C123" t="s">
        <v>326</v>
      </c>
      <c r="D123" t="s">
        <v>145</v>
      </c>
      <c r="E123" t="s">
        <v>273</v>
      </c>
      <c r="F123">
        <v>16</v>
      </c>
      <c r="G123">
        <v>28.4</v>
      </c>
      <c r="H123">
        <v>17</v>
      </c>
      <c r="I123">
        <v>60.7</v>
      </c>
      <c r="J123">
        <v>244</v>
      </c>
      <c r="K123">
        <v>1</v>
      </c>
      <c r="L123">
        <v>0</v>
      </c>
      <c r="M123">
        <v>8.6999999999999993</v>
      </c>
      <c r="N123">
        <v>14.4</v>
      </c>
      <c r="O123">
        <v>0</v>
      </c>
      <c r="P123">
        <v>0</v>
      </c>
      <c r="Q123">
        <v>0</v>
      </c>
      <c r="R123">
        <v>0</v>
      </c>
      <c r="S123">
        <v>0</v>
      </c>
      <c r="T123">
        <v>1.9</v>
      </c>
      <c r="U123">
        <v>30.4</v>
      </c>
      <c r="V123">
        <v>47.4</v>
      </c>
      <c r="W123">
        <f t="shared" si="3"/>
        <v>-47.6</v>
      </c>
    </row>
    <row r="124" spans="1:23" x14ac:dyDescent="0.25">
      <c r="A124">
        <f t="shared" si="2"/>
        <v>123</v>
      </c>
      <c r="B124">
        <v>13264</v>
      </c>
      <c r="C124" t="s">
        <v>713</v>
      </c>
      <c r="D124" t="s">
        <v>145</v>
      </c>
      <c r="E124" t="s">
        <v>644</v>
      </c>
      <c r="F124">
        <v>16</v>
      </c>
      <c r="G124">
        <v>23.5</v>
      </c>
      <c r="H124">
        <v>17</v>
      </c>
      <c r="I124">
        <v>73.900000000000006</v>
      </c>
      <c r="J124">
        <v>239</v>
      </c>
      <c r="K124">
        <v>1</v>
      </c>
      <c r="L124">
        <v>0</v>
      </c>
      <c r="M124">
        <v>10.4</v>
      </c>
      <c r="N124">
        <v>14.1</v>
      </c>
      <c r="O124">
        <v>0</v>
      </c>
      <c r="P124">
        <v>0</v>
      </c>
      <c r="Q124">
        <v>0</v>
      </c>
      <c r="R124">
        <v>0</v>
      </c>
      <c r="S124">
        <v>0</v>
      </c>
      <c r="T124">
        <v>1.9</v>
      </c>
      <c r="U124">
        <v>29.9</v>
      </c>
      <c r="V124">
        <v>46.9</v>
      </c>
      <c r="W124">
        <f t="shared" si="3"/>
        <v>-48.1</v>
      </c>
    </row>
    <row r="125" spans="1:23" x14ac:dyDescent="0.25">
      <c r="A125">
        <f t="shared" si="2"/>
        <v>124</v>
      </c>
      <c r="B125">
        <v>2429</v>
      </c>
      <c r="C125" t="s">
        <v>856</v>
      </c>
      <c r="D125" t="s">
        <v>145</v>
      </c>
      <c r="E125" t="s">
        <v>783</v>
      </c>
      <c r="F125">
        <v>16</v>
      </c>
      <c r="G125">
        <v>26.2</v>
      </c>
      <c r="H125">
        <v>16</v>
      </c>
      <c r="I125">
        <v>61.5</v>
      </c>
      <c r="J125">
        <v>206</v>
      </c>
      <c r="K125">
        <v>2</v>
      </c>
      <c r="L125">
        <v>0</v>
      </c>
      <c r="M125">
        <v>7.9</v>
      </c>
      <c r="N125">
        <v>12.9</v>
      </c>
      <c r="O125">
        <v>0</v>
      </c>
      <c r="P125">
        <v>0</v>
      </c>
      <c r="Q125">
        <v>0</v>
      </c>
      <c r="R125">
        <v>1</v>
      </c>
      <c r="S125">
        <v>1</v>
      </c>
      <c r="T125">
        <v>1.9</v>
      </c>
      <c r="U125">
        <v>30.6</v>
      </c>
      <c r="V125">
        <v>46.6</v>
      </c>
      <c r="W125">
        <f t="shared" si="3"/>
        <v>-48.4</v>
      </c>
    </row>
    <row r="126" spans="1:23" x14ac:dyDescent="0.25">
      <c r="A126">
        <f t="shared" si="2"/>
        <v>125</v>
      </c>
      <c r="B126">
        <v>16278</v>
      </c>
      <c r="C126" t="s">
        <v>358</v>
      </c>
      <c r="D126" t="s">
        <v>145</v>
      </c>
      <c r="E126" t="s">
        <v>292</v>
      </c>
      <c r="F126">
        <v>16</v>
      </c>
      <c r="G126">
        <v>30.2</v>
      </c>
      <c r="H126">
        <v>18</v>
      </c>
      <c r="I126">
        <v>60</v>
      </c>
      <c r="J126">
        <v>222</v>
      </c>
      <c r="K126">
        <v>1</v>
      </c>
      <c r="L126">
        <v>0</v>
      </c>
      <c r="M126">
        <v>7.4</v>
      </c>
      <c r="N126">
        <v>12.3</v>
      </c>
      <c r="O126">
        <v>0.3</v>
      </c>
      <c r="P126">
        <v>1</v>
      </c>
      <c r="Q126">
        <v>0</v>
      </c>
      <c r="R126">
        <v>0</v>
      </c>
      <c r="S126">
        <v>0</v>
      </c>
      <c r="T126">
        <v>1.8</v>
      </c>
      <c r="U126">
        <v>28.3</v>
      </c>
      <c r="V126">
        <v>46.300000000000004</v>
      </c>
      <c r="W126">
        <f t="shared" si="3"/>
        <v>-48.699999999999996</v>
      </c>
    </row>
    <row r="127" spans="1:23" x14ac:dyDescent="0.25">
      <c r="A127">
        <f t="shared" si="2"/>
        <v>126</v>
      </c>
      <c r="B127">
        <v>16993</v>
      </c>
      <c r="C127" t="s">
        <v>230</v>
      </c>
      <c r="D127" t="s">
        <v>145</v>
      </c>
      <c r="E127" t="s">
        <v>172</v>
      </c>
      <c r="F127">
        <v>16</v>
      </c>
      <c r="G127">
        <v>24.5</v>
      </c>
      <c r="H127">
        <v>17</v>
      </c>
      <c r="I127">
        <v>70.8</v>
      </c>
      <c r="J127">
        <v>186</v>
      </c>
      <c r="K127">
        <v>2</v>
      </c>
      <c r="L127">
        <v>0</v>
      </c>
      <c r="M127">
        <v>7.8</v>
      </c>
      <c r="N127">
        <v>10.9</v>
      </c>
      <c r="O127">
        <v>0.3</v>
      </c>
      <c r="P127">
        <v>1</v>
      </c>
      <c r="Q127">
        <v>0</v>
      </c>
      <c r="R127">
        <v>1</v>
      </c>
      <c r="S127">
        <v>1</v>
      </c>
      <c r="T127">
        <v>1.8</v>
      </c>
      <c r="U127">
        <v>28.7</v>
      </c>
      <c r="V127">
        <v>45.7</v>
      </c>
      <c r="W127">
        <f t="shared" si="3"/>
        <v>-49.3</v>
      </c>
    </row>
    <row r="128" spans="1:23" x14ac:dyDescent="0.25">
      <c r="A128">
        <f t="shared" si="2"/>
        <v>127</v>
      </c>
      <c r="B128">
        <v>14405</v>
      </c>
      <c r="C128" t="s">
        <v>719</v>
      </c>
      <c r="D128" t="s">
        <v>145</v>
      </c>
      <c r="E128" t="s">
        <v>107</v>
      </c>
      <c r="F128">
        <v>16</v>
      </c>
      <c r="G128">
        <v>22.9</v>
      </c>
      <c r="H128">
        <v>16</v>
      </c>
      <c r="I128">
        <v>69.599999999999994</v>
      </c>
      <c r="J128">
        <v>232</v>
      </c>
      <c r="K128">
        <v>1</v>
      </c>
      <c r="L128">
        <v>0</v>
      </c>
      <c r="M128">
        <v>10.1</v>
      </c>
      <c r="N128">
        <v>14.5</v>
      </c>
      <c r="O128">
        <v>0</v>
      </c>
      <c r="P128">
        <v>0</v>
      </c>
      <c r="Q128">
        <v>0</v>
      </c>
      <c r="R128">
        <v>0</v>
      </c>
      <c r="S128">
        <v>0</v>
      </c>
      <c r="T128">
        <v>1.8</v>
      </c>
      <c r="U128">
        <v>29.2</v>
      </c>
      <c r="V128">
        <v>45.2</v>
      </c>
      <c r="W128">
        <f t="shared" si="3"/>
        <v>-49.8</v>
      </c>
    </row>
    <row r="129" spans="1:23" x14ac:dyDescent="0.25">
      <c r="A129">
        <f t="shared" si="2"/>
        <v>128</v>
      </c>
      <c r="B129">
        <v>16893</v>
      </c>
      <c r="C129" t="s">
        <v>839</v>
      </c>
      <c r="D129" t="s">
        <v>145</v>
      </c>
      <c r="E129" t="s">
        <v>774</v>
      </c>
      <c r="F129">
        <v>16</v>
      </c>
      <c r="G129">
        <v>22.4</v>
      </c>
      <c r="H129">
        <v>17</v>
      </c>
      <c r="I129">
        <v>77.3</v>
      </c>
      <c r="J129">
        <v>216</v>
      </c>
      <c r="K129">
        <v>1</v>
      </c>
      <c r="L129">
        <v>0</v>
      </c>
      <c r="M129">
        <v>9.8000000000000007</v>
      </c>
      <c r="N129">
        <v>12.7</v>
      </c>
      <c r="O129">
        <v>0</v>
      </c>
      <c r="P129">
        <v>0</v>
      </c>
      <c r="Q129">
        <v>0</v>
      </c>
      <c r="R129">
        <v>0</v>
      </c>
      <c r="S129">
        <v>0</v>
      </c>
      <c r="T129">
        <v>1.7</v>
      </c>
      <c r="U129">
        <v>27.6</v>
      </c>
      <c r="V129">
        <v>44.6</v>
      </c>
      <c r="W129">
        <f t="shared" si="3"/>
        <v>-50.4</v>
      </c>
    </row>
    <row r="130" spans="1:23" x14ac:dyDescent="0.25">
      <c r="A130">
        <f t="shared" ref="A130:A193" si="4">_xlfn.RANK.AVG(V130,$V$2:$V$246,0)</f>
        <v>129</v>
      </c>
      <c r="B130">
        <v>8564</v>
      </c>
      <c r="C130" t="s">
        <v>563</v>
      </c>
      <c r="D130" t="s">
        <v>145</v>
      </c>
      <c r="E130" t="s">
        <v>430</v>
      </c>
      <c r="F130">
        <v>16</v>
      </c>
      <c r="G130">
        <v>26.9</v>
      </c>
      <c r="H130">
        <v>16</v>
      </c>
      <c r="I130">
        <v>59.3</v>
      </c>
      <c r="J130">
        <v>225</v>
      </c>
      <c r="K130">
        <v>1</v>
      </c>
      <c r="L130">
        <v>0</v>
      </c>
      <c r="M130">
        <v>8.3000000000000007</v>
      </c>
      <c r="N130">
        <v>14.1</v>
      </c>
      <c r="O130">
        <v>0</v>
      </c>
      <c r="P130">
        <v>0</v>
      </c>
      <c r="Q130">
        <v>0</v>
      </c>
      <c r="R130">
        <v>0</v>
      </c>
      <c r="S130">
        <v>0</v>
      </c>
      <c r="T130">
        <v>1.8</v>
      </c>
      <c r="U130">
        <v>28.5</v>
      </c>
      <c r="V130">
        <v>44.5</v>
      </c>
      <c r="W130">
        <f t="shared" si="3"/>
        <v>-50.5</v>
      </c>
    </row>
    <row r="131" spans="1:23" x14ac:dyDescent="0.25">
      <c r="A131">
        <f t="shared" si="4"/>
        <v>130</v>
      </c>
      <c r="B131">
        <v>12551</v>
      </c>
      <c r="C131" t="s">
        <v>359</v>
      </c>
      <c r="D131" t="s">
        <v>145</v>
      </c>
      <c r="E131" t="s">
        <v>292</v>
      </c>
      <c r="F131">
        <v>16</v>
      </c>
      <c r="G131">
        <v>29.5</v>
      </c>
      <c r="H131">
        <v>18</v>
      </c>
      <c r="I131">
        <v>60</v>
      </c>
      <c r="J131">
        <v>199</v>
      </c>
      <c r="K131">
        <v>1</v>
      </c>
      <c r="L131">
        <v>0</v>
      </c>
      <c r="M131">
        <v>6.6</v>
      </c>
      <c r="N131">
        <v>11.1</v>
      </c>
      <c r="O131">
        <v>0</v>
      </c>
      <c r="P131">
        <v>0</v>
      </c>
      <c r="Q131">
        <v>0</v>
      </c>
      <c r="R131">
        <v>0</v>
      </c>
      <c r="S131">
        <v>0</v>
      </c>
      <c r="T131">
        <v>1.6</v>
      </c>
      <c r="U131">
        <v>25.9</v>
      </c>
      <c r="V131">
        <v>43.9</v>
      </c>
      <c r="W131">
        <f t="shared" ref="W131:W194" si="5">V131-$Y$1</f>
        <v>-51.1</v>
      </c>
    </row>
    <row r="132" spans="1:23" x14ac:dyDescent="0.25">
      <c r="A132">
        <f t="shared" si="4"/>
        <v>131</v>
      </c>
      <c r="B132">
        <v>16694</v>
      </c>
      <c r="C132" t="s">
        <v>832</v>
      </c>
      <c r="D132" t="s">
        <v>145</v>
      </c>
      <c r="E132" t="s">
        <v>772</v>
      </c>
      <c r="F132">
        <v>16</v>
      </c>
      <c r="G132">
        <v>20.100000000000001</v>
      </c>
      <c r="H132">
        <v>15</v>
      </c>
      <c r="I132">
        <v>75</v>
      </c>
      <c r="J132">
        <v>211</v>
      </c>
      <c r="K132">
        <v>1</v>
      </c>
      <c r="L132">
        <v>0</v>
      </c>
      <c r="M132">
        <v>10.6</v>
      </c>
      <c r="N132">
        <v>14.1</v>
      </c>
      <c r="O132">
        <v>0</v>
      </c>
      <c r="P132">
        <v>0</v>
      </c>
      <c r="Q132">
        <v>0</v>
      </c>
      <c r="R132">
        <v>0</v>
      </c>
      <c r="S132">
        <v>0</v>
      </c>
      <c r="T132">
        <v>1.7</v>
      </c>
      <c r="U132">
        <v>27.1</v>
      </c>
      <c r="V132">
        <v>42.1</v>
      </c>
      <c r="W132">
        <f t="shared" si="5"/>
        <v>-52.9</v>
      </c>
    </row>
    <row r="133" spans="1:23" x14ac:dyDescent="0.25">
      <c r="A133">
        <f t="shared" si="4"/>
        <v>132.5</v>
      </c>
      <c r="B133">
        <v>16997</v>
      </c>
      <c r="C133" t="s">
        <v>335</v>
      </c>
      <c r="D133" t="s">
        <v>145</v>
      </c>
      <c r="E133" t="s">
        <v>279</v>
      </c>
      <c r="F133">
        <v>16</v>
      </c>
      <c r="G133">
        <v>22.4</v>
      </c>
      <c r="H133">
        <v>15</v>
      </c>
      <c r="I133">
        <v>68.2</v>
      </c>
      <c r="J133">
        <v>200</v>
      </c>
      <c r="K133">
        <v>1</v>
      </c>
      <c r="L133">
        <v>0</v>
      </c>
      <c r="M133">
        <v>9.1</v>
      </c>
      <c r="N133">
        <v>13.3</v>
      </c>
      <c r="O133">
        <v>0.5</v>
      </c>
      <c r="P133">
        <v>2</v>
      </c>
      <c r="Q133">
        <v>0</v>
      </c>
      <c r="R133">
        <v>0</v>
      </c>
      <c r="S133">
        <v>0</v>
      </c>
      <c r="T133">
        <v>1.6</v>
      </c>
      <c r="U133">
        <v>26.2</v>
      </c>
      <c r="V133">
        <v>41.2</v>
      </c>
      <c r="W133">
        <f t="shared" si="5"/>
        <v>-53.8</v>
      </c>
    </row>
    <row r="134" spans="1:23" x14ac:dyDescent="0.25">
      <c r="A134">
        <f t="shared" si="4"/>
        <v>132.5</v>
      </c>
      <c r="B134">
        <v>6211</v>
      </c>
      <c r="C134" t="s">
        <v>857</v>
      </c>
      <c r="D134" t="s">
        <v>145</v>
      </c>
      <c r="E134" t="s">
        <v>783</v>
      </c>
      <c r="F134">
        <v>16</v>
      </c>
      <c r="G134">
        <v>26.4</v>
      </c>
      <c r="H134">
        <v>17</v>
      </c>
      <c r="I134">
        <v>65.400000000000006</v>
      </c>
      <c r="J134">
        <v>201</v>
      </c>
      <c r="K134">
        <v>1</v>
      </c>
      <c r="L134">
        <v>0</v>
      </c>
      <c r="M134">
        <v>7.7</v>
      </c>
      <c r="N134">
        <v>11.8</v>
      </c>
      <c r="O134">
        <v>0.3</v>
      </c>
      <c r="P134">
        <v>1</v>
      </c>
      <c r="Q134">
        <v>0</v>
      </c>
      <c r="R134">
        <v>1</v>
      </c>
      <c r="S134">
        <v>1</v>
      </c>
      <c r="T134">
        <v>1.5</v>
      </c>
      <c r="U134">
        <v>24.2</v>
      </c>
      <c r="V134">
        <v>41.2</v>
      </c>
      <c r="W134">
        <f t="shared" si="5"/>
        <v>-53.8</v>
      </c>
    </row>
    <row r="135" spans="1:23" x14ac:dyDescent="0.25">
      <c r="A135">
        <f t="shared" si="4"/>
        <v>134</v>
      </c>
      <c r="B135">
        <v>15066</v>
      </c>
      <c r="C135" t="s">
        <v>351</v>
      </c>
      <c r="D135" t="s">
        <v>145</v>
      </c>
      <c r="E135" t="s">
        <v>288</v>
      </c>
      <c r="F135">
        <v>16</v>
      </c>
      <c r="G135">
        <v>22.3</v>
      </c>
      <c r="H135">
        <v>14</v>
      </c>
      <c r="I135">
        <v>63.6</v>
      </c>
      <c r="J135">
        <v>207</v>
      </c>
      <c r="K135">
        <v>1</v>
      </c>
      <c r="L135">
        <v>0</v>
      </c>
      <c r="M135">
        <v>9.4</v>
      </c>
      <c r="N135">
        <v>14.8</v>
      </c>
      <c r="O135">
        <v>0.3</v>
      </c>
      <c r="P135">
        <v>1</v>
      </c>
      <c r="Q135">
        <v>0</v>
      </c>
      <c r="R135">
        <v>0</v>
      </c>
      <c r="S135">
        <v>0</v>
      </c>
      <c r="T135">
        <v>1.7</v>
      </c>
      <c r="U135">
        <v>26.8</v>
      </c>
      <c r="V135">
        <v>40.800000000000004</v>
      </c>
      <c r="W135">
        <f t="shared" si="5"/>
        <v>-54.199999999999996</v>
      </c>
    </row>
    <row r="136" spans="1:23" x14ac:dyDescent="0.25">
      <c r="A136">
        <f t="shared" si="4"/>
        <v>135</v>
      </c>
      <c r="B136">
        <v>17048</v>
      </c>
      <c r="C136" t="s">
        <v>827</v>
      </c>
      <c r="D136" t="s">
        <v>145</v>
      </c>
      <c r="E136" t="s">
        <v>768</v>
      </c>
      <c r="F136">
        <v>16</v>
      </c>
      <c r="G136">
        <v>19.7</v>
      </c>
      <c r="H136">
        <v>15</v>
      </c>
      <c r="I136">
        <v>75</v>
      </c>
      <c r="J136">
        <v>183</v>
      </c>
      <c r="K136">
        <v>1</v>
      </c>
      <c r="L136">
        <v>0</v>
      </c>
      <c r="M136">
        <v>9.1999999999999993</v>
      </c>
      <c r="N136">
        <v>12.2</v>
      </c>
      <c r="O136">
        <v>0.3</v>
      </c>
      <c r="P136">
        <v>1</v>
      </c>
      <c r="Q136">
        <v>0</v>
      </c>
      <c r="R136">
        <v>0</v>
      </c>
      <c r="S136">
        <v>0</v>
      </c>
      <c r="T136">
        <v>1.5</v>
      </c>
      <c r="U136">
        <v>24.4</v>
      </c>
      <c r="V136">
        <v>39.4</v>
      </c>
      <c r="W136">
        <f t="shared" si="5"/>
        <v>-55.6</v>
      </c>
    </row>
    <row r="137" spans="1:23" x14ac:dyDescent="0.25">
      <c r="A137">
        <f t="shared" si="4"/>
        <v>136</v>
      </c>
      <c r="B137">
        <v>18089</v>
      </c>
      <c r="C137" t="s">
        <v>342</v>
      </c>
      <c r="D137" t="s">
        <v>145</v>
      </c>
      <c r="E137" t="s">
        <v>283</v>
      </c>
      <c r="F137">
        <v>16</v>
      </c>
      <c r="G137">
        <v>26</v>
      </c>
      <c r="H137">
        <v>15</v>
      </c>
      <c r="I137">
        <v>57.7</v>
      </c>
      <c r="J137">
        <v>187</v>
      </c>
      <c r="K137">
        <v>1</v>
      </c>
      <c r="L137">
        <v>0</v>
      </c>
      <c r="M137">
        <v>7.2</v>
      </c>
      <c r="N137">
        <v>12.5</v>
      </c>
      <c r="O137">
        <v>0</v>
      </c>
      <c r="P137">
        <v>0</v>
      </c>
      <c r="Q137">
        <v>0</v>
      </c>
      <c r="R137">
        <v>1</v>
      </c>
      <c r="S137">
        <v>1</v>
      </c>
      <c r="T137">
        <v>1.4</v>
      </c>
      <c r="U137">
        <v>22.7</v>
      </c>
      <c r="V137">
        <v>37.700000000000003</v>
      </c>
      <c r="W137">
        <f t="shared" si="5"/>
        <v>-57.3</v>
      </c>
    </row>
    <row r="138" spans="1:23" x14ac:dyDescent="0.25">
      <c r="A138">
        <f t="shared" si="4"/>
        <v>137</v>
      </c>
      <c r="B138">
        <v>16129</v>
      </c>
      <c r="C138" t="s">
        <v>343</v>
      </c>
      <c r="D138" t="s">
        <v>145</v>
      </c>
      <c r="E138" t="s">
        <v>283</v>
      </c>
      <c r="F138">
        <v>16</v>
      </c>
      <c r="G138">
        <v>26.4</v>
      </c>
      <c r="H138">
        <v>15</v>
      </c>
      <c r="I138">
        <v>57.7</v>
      </c>
      <c r="J138">
        <v>186</v>
      </c>
      <c r="K138">
        <v>1</v>
      </c>
      <c r="L138">
        <v>0</v>
      </c>
      <c r="M138">
        <v>7.2</v>
      </c>
      <c r="N138">
        <v>12.4</v>
      </c>
      <c r="O138">
        <v>0</v>
      </c>
      <c r="P138">
        <v>0</v>
      </c>
      <c r="Q138">
        <v>0</v>
      </c>
      <c r="R138">
        <v>1</v>
      </c>
      <c r="S138">
        <v>1</v>
      </c>
      <c r="T138">
        <v>1.4</v>
      </c>
      <c r="U138">
        <v>22.6</v>
      </c>
      <c r="V138">
        <v>37.6</v>
      </c>
      <c r="W138">
        <f t="shared" si="5"/>
        <v>-57.4</v>
      </c>
    </row>
    <row r="139" spans="1:23" x14ac:dyDescent="0.25">
      <c r="A139">
        <f t="shared" si="4"/>
        <v>138</v>
      </c>
      <c r="B139">
        <v>12794</v>
      </c>
      <c r="C139" t="s">
        <v>495</v>
      </c>
      <c r="D139" t="s">
        <v>145</v>
      </c>
      <c r="E139" t="s">
        <v>393</v>
      </c>
      <c r="F139">
        <v>16</v>
      </c>
      <c r="G139">
        <v>22.5</v>
      </c>
      <c r="H139">
        <v>14</v>
      </c>
      <c r="I139">
        <v>60.9</v>
      </c>
      <c r="J139">
        <v>167</v>
      </c>
      <c r="K139">
        <v>1</v>
      </c>
      <c r="L139">
        <v>0</v>
      </c>
      <c r="M139">
        <v>7.3</v>
      </c>
      <c r="N139">
        <v>11.9</v>
      </c>
      <c r="O139">
        <v>0</v>
      </c>
      <c r="P139">
        <v>0</v>
      </c>
      <c r="Q139">
        <v>0</v>
      </c>
      <c r="R139">
        <v>0</v>
      </c>
      <c r="S139">
        <v>0</v>
      </c>
      <c r="T139">
        <v>1.4</v>
      </c>
      <c r="U139">
        <v>22.7</v>
      </c>
      <c r="V139">
        <v>36.700000000000003</v>
      </c>
      <c r="W139">
        <f t="shared" si="5"/>
        <v>-58.3</v>
      </c>
    </row>
    <row r="140" spans="1:23" x14ac:dyDescent="0.25">
      <c r="A140">
        <f t="shared" si="4"/>
        <v>139</v>
      </c>
      <c r="B140">
        <v>16411</v>
      </c>
      <c r="C140" t="s">
        <v>863</v>
      </c>
      <c r="D140" t="s">
        <v>145</v>
      </c>
      <c r="E140" t="s">
        <v>787</v>
      </c>
      <c r="F140">
        <v>16</v>
      </c>
      <c r="G140">
        <v>18.5</v>
      </c>
      <c r="H140">
        <v>13</v>
      </c>
      <c r="I140">
        <v>72.2</v>
      </c>
      <c r="J140">
        <v>153</v>
      </c>
      <c r="K140">
        <v>1</v>
      </c>
      <c r="L140">
        <v>0</v>
      </c>
      <c r="M140">
        <v>8.5</v>
      </c>
      <c r="N140">
        <v>11.8</v>
      </c>
      <c r="O140">
        <v>0</v>
      </c>
      <c r="P140">
        <v>0</v>
      </c>
      <c r="Q140">
        <v>0</v>
      </c>
      <c r="R140">
        <v>0</v>
      </c>
      <c r="S140">
        <v>0</v>
      </c>
      <c r="T140">
        <v>1.3</v>
      </c>
      <c r="U140">
        <v>21.3</v>
      </c>
      <c r="V140">
        <v>34.299999999999997</v>
      </c>
      <c r="W140">
        <f t="shared" si="5"/>
        <v>-60.7</v>
      </c>
    </row>
    <row r="141" spans="1:23" x14ac:dyDescent="0.25">
      <c r="A141">
        <f t="shared" si="4"/>
        <v>140</v>
      </c>
      <c r="B141">
        <v>8777</v>
      </c>
      <c r="C141" t="s">
        <v>847</v>
      </c>
      <c r="D141" t="s">
        <v>145</v>
      </c>
      <c r="E141" t="s">
        <v>779</v>
      </c>
      <c r="F141">
        <v>16</v>
      </c>
      <c r="G141">
        <v>18.5</v>
      </c>
      <c r="H141">
        <v>14</v>
      </c>
      <c r="I141">
        <v>77.8</v>
      </c>
      <c r="J141">
        <v>197</v>
      </c>
      <c r="K141">
        <v>0</v>
      </c>
      <c r="L141">
        <v>0</v>
      </c>
      <c r="M141">
        <v>10.9</v>
      </c>
      <c r="N141">
        <v>14.1</v>
      </c>
      <c r="O141">
        <v>0</v>
      </c>
      <c r="P141">
        <v>0</v>
      </c>
      <c r="Q141">
        <v>0</v>
      </c>
      <c r="R141">
        <v>0</v>
      </c>
      <c r="S141">
        <v>0</v>
      </c>
      <c r="T141">
        <v>1.2</v>
      </c>
      <c r="U141">
        <v>19.7</v>
      </c>
      <c r="V141">
        <v>33.700000000000003</v>
      </c>
      <c r="W141">
        <f t="shared" si="5"/>
        <v>-61.3</v>
      </c>
    </row>
    <row r="142" spans="1:23" x14ac:dyDescent="0.25">
      <c r="A142">
        <f t="shared" si="4"/>
        <v>141</v>
      </c>
      <c r="B142">
        <v>16731</v>
      </c>
      <c r="C142" t="s">
        <v>220</v>
      </c>
      <c r="D142" t="s">
        <v>145</v>
      </c>
      <c r="E142" t="s">
        <v>167</v>
      </c>
      <c r="F142">
        <v>16</v>
      </c>
      <c r="G142">
        <v>18.100000000000001</v>
      </c>
      <c r="H142">
        <v>12</v>
      </c>
      <c r="I142">
        <v>66.7</v>
      </c>
      <c r="J142">
        <v>148</v>
      </c>
      <c r="K142">
        <v>1</v>
      </c>
      <c r="L142">
        <v>0</v>
      </c>
      <c r="M142">
        <v>8.1999999999999993</v>
      </c>
      <c r="N142">
        <v>12.3</v>
      </c>
      <c r="O142">
        <v>0</v>
      </c>
      <c r="P142">
        <v>0</v>
      </c>
      <c r="Q142">
        <v>0</v>
      </c>
      <c r="R142">
        <v>0</v>
      </c>
      <c r="S142">
        <v>0</v>
      </c>
      <c r="T142">
        <v>1.3</v>
      </c>
      <c r="U142">
        <v>20.8</v>
      </c>
      <c r="V142">
        <v>32.799999999999997</v>
      </c>
      <c r="W142">
        <f t="shared" si="5"/>
        <v>-62.2</v>
      </c>
    </row>
    <row r="143" spans="1:23" x14ac:dyDescent="0.25">
      <c r="A143">
        <f t="shared" si="4"/>
        <v>142</v>
      </c>
      <c r="B143">
        <v>16456</v>
      </c>
      <c r="C143" t="s">
        <v>496</v>
      </c>
      <c r="D143" t="s">
        <v>145</v>
      </c>
      <c r="E143" t="s">
        <v>393</v>
      </c>
      <c r="F143">
        <v>16</v>
      </c>
      <c r="G143">
        <v>21.7</v>
      </c>
      <c r="H143">
        <v>13</v>
      </c>
      <c r="I143">
        <v>59.1</v>
      </c>
      <c r="J143">
        <v>171</v>
      </c>
      <c r="K143">
        <v>1</v>
      </c>
      <c r="L143">
        <v>0</v>
      </c>
      <c r="M143">
        <v>7.8</v>
      </c>
      <c r="N143">
        <v>13.2</v>
      </c>
      <c r="O143">
        <v>0</v>
      </c>
      <c r="P143">
        <v>0</v>
      </c>
      <c r="Q143">
        <v>0</v>
      </c>
      <c r="R143">
        <v>2</v>
      </c>
      <c r="S143">
        <v>2</v>
      </c>
      <c r="T143">
        <v>1.2</v>
      </c>
      <c r="U143">
        <v>19.100000000000001</v>
      </c>
      <c r="V143">
        <v>32.1</v>
      </c>
      <c r="W143">
        <f t="shared" si="5"/>
        <v>-62.9</v>
      </c>
    </row>
    <row r="144" spans="1:23" x14ac:dyDescent="0.25">
      <c r="A144">
        <f t="shared" si="4"/>
        <v>143.5</v>
      </c>
      <c r="B144">
        <v>16080</v>
      </c>
      <c r="C144" t="s">
        <v>221</v>
      </c>
      <c r="D144" t="s">
        <v>145</v>
      </c>
      <c r="E144" t="s">
        <v>167</v>
      </c>
      <c r="F144">
        <v>16</v>
      </c>
      <c r="G144">
        <v>20.399999999999999</v>
      </c>
      <c r="H144">
        <v>14</v>
      </c>
      <c r="I144">
        <v>70</v>
      </c>
      <c r="J144">
        <v>171</v>
      </c>
      <c r="K144">
        <v>0</v>
      </c>
      <c r="L144">
        <v>0</v>
      </c>
      <c r="M144">
        <v>8.6</v>
      </c>
      <c r="N144">
        <v>12.2</v>
      </c>
      <c r="O144">
        <v>0</v>
      </c>
      <c r="P144">
        <v>0</v>
      </c>
      <c r="Q144">
        <v>0</v>
      </c>
      <c r="R144">
        <v>0</v>
      </c>
      <c r="S144">
        <v>0</v>
      </c>
      <c r="T144">
        <v>1.1000000000000001</v>
      </c>
      <c r="U144">
        <v>17.100000000000001</v>
      </c>
      <c r="V144">
        <v>31.1</v>
      </c>
      <c r="W144">
        <f t="shared" si="5"/>
        <v>-63.9</v>
      </c>
    </row>
    <row r="145" spans="1:23" x14ac:dyDescent="0.25">
      <c r="A145">
        <f t="shared" si="4"/>
        <v>143.5</v>
      </c>
      <c r="B145">
        <v>13763</v>
      </c>
      <c r="C145" t="s">
        <v>720</v>
      </c>
      <c r="D145" t="s">
        <v>145</v>
      </c>
      <c r="E145" t="s">
        <v>107</v>
      </c>
      <c r="F145">
        <v>16</v>
      </c>
      <c r="G145">
        <v>19</v>
      </c>
      <c r="H145">
        <v>11</v>
      </c>
      <c r="I145">
        <v>57.9</v>
      </c>
      <c r="J145">
        <v>141</v>
      </c>
      <c r="K145">
        <v>1</v>
      </c>
      <c r="L145">
        <v>0</v>
      </c>
      <c r="M145">
        <v>7.4</v>
      </c>
      <c r="N145">
        <v>12.8</v>
      </c>
      <c r="O145">
        <v>0</v>
      </c>
      <c r="P145">
        <v>0</v>
      </c>
      <c r="Q145">
        <v>0</v>
      </c>
      <c r="R145">
        <v>0</v>
      </c>
      <c r="S145">
        <v>0</v>
      </c>
      <c r="T145">
        <v>1.3</v>
      </c>
      <c r="U145">
        <v>20.100000000000001</v>
      </c>
      <c r="V145">
        <v>31.1</v>
      </c>
      <c r="W145">
        <f t="shared" si="5"/>
        <v>-63.9</v>
      </c>
    </row>
    <row r="146" spans="1:23" x14ac:dyDescent="0.25">
      <c r="A146">
        <f t="shared" si="4"/>
        <v>145</v>
      </c>
      <c r="B146">
        <v>15509</v>
      </c>
      <c r="C146" t="s">
        <v>149</v>
      </c>
      <c r="D146" t="s">
        <v>145</v>
      </c>
      <c r="E146" t="s">
        <v>135</v>
      </c>
      <c r="F146">
        <v>16</v>
      </c>
      <c r="G146">
        <v>13.1</v>
      </c>
      <c r="H146">
        <v>10</v>
      </c>
      <c r="I146">
        <v>76.900000000000006</v>
      </c>
      <c r="J146">
        <v>132</v>
      </c>
      <c r="K146">
        <v>1</v>
      </c>
      <c r="L146">
        <v>0</v>
      </c>
      <c r="M146">
        <v>10.199999999999999</v>
      </c>
      <c r="N146">
        <v>13.2</v>
      </c>
      <c r="O146">
        <v>0</v>
      </c>
      <c r="P146">
        <v>0</v>
      </c>
      <c r="Q146">
        <v>0</v>
      </c>
      <c r="R146">
        <v>0</v>
      </c>
      <c r="S146">
        <v>0</v>
      </c>
      <c r="T146">
        <v>1.2</v>
      </c>
      <c r="U146">
        <v>19.2</v>
      </c>
      <c r="V146">
        <v>29.2</v>
      </c>
      <c r="W146">
        <f t="shared" si="5"/>
        <v>-65.8</v>
      </c>
    </row>
    <row r="147" spans="1:23" x14ac:dyDescent="0.25">
      <c r="A147">
        <f t="shared" si="4"/>
        <v>146</v>
      </c>
      <c r="B147">
        <v>16381</v>
      </c>
      <c r="C147" t="s">
        <v>352</v>
      </c>
      <c r="D147" t="s">
        <v>145</v>
      </c>
      <c r="E147" t="s">
        <v>288</v>
      </c>
      <c r="F147">
        <v>16</v>
      </c>
      <c r="G147">
        <v>15.8</v>
      </c>
      <c r="H147">
        <v>10</v>
      </c>
      <c r="I147">
        <v>62.5</v>
      </c>
      <c r="J147">
        <v>127</v>
      </c>
      <c r="K147">
        <v>1</v>
      </c>
      <c r="L147">
        <v>0</v>
      </c>
      <c r="M147">
        <v>7.9</v>
      </c>
      <c r="N147">
        <v>12.7</v>
      </c>
      <c r="O147">
        <v>0.8</v>
      </c>
      <c r="P147">
        <v>3</v>
      </c>
      <c r="Q147">
        <v>0</v>
      </c>
      <c r="R147">
        <v>0</v>
      </c>
      <c r="S147">
        <v>0</v>
      </c>
      <c r="T147">
        <v>1.2</v>
      </c>
      <c r="U147">
        <v>19</v>
      </c>
      <c r="V147">
        <v>29</v>
      </c>
      <c r="W147">
        <f t="shared" si="5"/>
        <v>-66</v>
      </c>
    </row>
    <row r="148" spans="1:23" x14ac:dyDescent="0.25">
      <c r="A148">
        <f t="shared" si="4"/>
        <v>147</v>
      </c>
      <c r="B148">
        <v>14795</v>
      </c>
      <c r="C148" t="s">
        <v>327</v>
      </c>
      <c r="D148" t="s">
        <v>145</v>
      </c>
      <c r="E148" t="s">
        <v>273</v>
      </c>
      <c r="F148">
        <v>16</v>
      </c>
      <c r="G148">
        <v>13</v>
      </c>
      <c r="H148">
        <v>10</v>
      </c>
      <c r="I148">
        <v>76.900000000000006</v>
      </c>
      <c r="J148">
        <v>127</v>
      </c>
      <c r="K148">
        <v>1</v>
      </c>
      <c r="L148">
        <v>0</v>
      </c>
      <c r="M148">
        <v>9.8000000000000007</v>
      </c>
      <c r="N148">
        <v>12.7</v>
      </c>
      <c r="O148">
        <v>0</v>
      </c>
      <c r="P148">
        <v>0</v>
      </c>
      <c r="Q148">
        <v>0</v>
      </c>
      <c r="R148">
        <v>0</v>
      </c>
      <c r="S148">
        <v>0</v>
      </c>
      <c r="T148">
        <v>1.2</v>
      </c>
      <c r="U148">
        <v>18.7</v>
      </c>
      <c r="V148">
        <v>28.7</v>
      </c>
      <c r="W148">
        <f t="shared" si="5"/>
        <v>-66.3</v>
      </c>
    </row>
    <row r="149" spans="1:23" x14ac:dyDescent="0.25">
      <c r="A149">
        <f t="shared" si="4"/>
        <v>148</v>
      </c>
      <c r="B149">
        <v>17292</v>
      </c>
      <c r="C149" t="s">
        <v>848</v>
      </c>
      <c r="D149" t="s">
        <v>145</v>
      </c>
      <c r="E149" t="s">
        <v>779</v>
      </c>
      <c r="F149">
        <v>16</v>
      </c>
      <c r="G149">
        <v>15.5</v>
      </c>
      <c r="H149">
        <v>10</v>
      </c>
      <c r="I149">
        <v>62.5</v>
      </c>
      <c r="J149">
        <v>122</v>
      </c>
      <c r="K149">
        <v>1</v>
      </c>
      <c r="L149">
        <v>0</v>
      </c>
      <c r="M149">
        <v>7.6</v>
      </c>
      <c r="N149">
        <v>12.2</v>
      </c>
      <c r="O149">
        <v>0</v>
      </c>
      <c r="P149">
        <v>0</v>
      </c>
      <c r="Q149">
        <v>0</v>
      </c>
      <c r="R149">
        <v>0</v>
      </c>
      <c r="S149">
        <v>0</v>
      </c>
      <c r="T149">
        <v>1.1000000000000001</v>
      </c>
      <c r="U149">
        <v>18.2</v>
      </c>
      <c r="V149">
        <v>28.2</v>
      </c>
      <c r="W149">
        <f t="shared" si="5"/>
        <v>-66.8</v>
      </c>
    </row>
    <row r="150" spans="1:23" x14ac:dyDescent="0.25">
      <c r="A150">
        <f t="shared" si="4"/>
        <v>149</v>
      </c>
      <c r="B150">
        <v>15123</v>
      </c>
      <c r="C150" t="s">
        <v>497</v>
      </c>
      <c r="D150" t="s">
        <v>145</v>
      </c>
      <c r="E150" t="s">
        <v>393</v>
      </c>
      <c r="F150">
        <v>16</v>
      </c>
      <c r="G150">
        <v>13.3</v>
      </c>
      <c r="H150">
        <v>9</v>
      </c>
      <c r="I150">
        <v>69.2</v>
      </c>
      <c r="J150">
        <v>131</v>
      </c>
      <c r="K150">
        <v>1</v>
      </c>
      <c r="L150">
        <v>0</v>
      </c>
      <c r="M150">
        <v>10.1</v>
      </c>
      <c r="N150">
        <v>14.6</v>
      </c>
      <c r="O150">
        <v>0</v>
      </c>
      <c r="P150">
        <v>0</v>
      </c>
      <c r="Q150">
        <v>0</v>
      </c>
      <c r="R150">
        <v>0</v>
      </c>
      <c r="S150">
        <v>0</v>
      </c>
      <c r="T150">
        <v>1.2</v>
      </c>
      <c r="U150">
        <v>19.100000000000001</v>
      </c>
      <c r="V150">
        <v>28.1</v>
      </c>
      <c r="W150">
        <f t="shared" si="5"/>
        <v>-66.900000000000006</v>
      </c>
    </row>
    <row r="151" spans="1:23" x14ac:dyDescent="0.25">
      <c r="A151">
        <f t="shared" si="4"/>
        <v>150</v>
      </c>
      <c r="B151">
        <v>16935</v>
      </c>
      <c r="C151" t="s">
        <v>513</v>
      </c>
      <c r="D151" t="s">
        <v>145</v>
      </c>
      <c r="E151" t="s">
        <v>400</v>
      </c>
      <c r="F151">
        <v>16</v>
      </c>
      <c r="G151">
        <v>17.899999999999999</v>
      </c>
      <c r="H151">
        <v>10</v>
      </c>
      <c r="I151">
        <v>55.6</v>
      </c>
      <c r="J151">
        <v>118</v>
      </c>
      <c r="K151">
        <v>1</v>
      </c>
      <c r="L151">
        <v>0</v>
      </c>
      <c r="M151">
        <v>6.6</v>
      </c>
      <c r="N151">
        <v>11.8</v>
      </c>
      <c r="O151">
        <v>0</v>
      </c>
      <c r="P151">
        <v>0</v>
      </c>
      <c r="Q151">
        <v>0</v>
      </c>
      <c r="R151">
        <v>0</v>
      </c>
      <c r="S151">
        <v>0</v>
      </c>
      <c r="T151">
        <v>1.1000000000000001</v>
      </c>
      <c r="U151">
        <v>17.8</v>
      </c>
      <c r="V151">
        <v>27.8</v>
      </c>
      <c r="W151">
        <f t="shared" si="5"/>
        <v>-67.2</v>
      </c>
    </row>
    <row r="152" spans="1:23" x14ac:dyDescent="0.25">
      <c r="A152">
        <f t="shared" si="4"/>
        <v>151.5</v>
      </c>
      <c r="B152">
        <v>14883</v>
      </c>
      <c r="C152" t="s">
        <v>517</v>
      </c>
      <c r="D152" t="s">
        <v>145</v>
      </c>
      <c r="E152" t="s">
        <v>404</v>
      </c>
      <c r="F152">
        <v>16</v>
      </c>
      <c r="G152">
        <v>16.100000000000001</v>
      </c>
      <c r="H152">
        <v>9</v>
      </c>
      <c r="I152">
        <v>56.2</v>
      </c>
      <c r="J152">
        <v>127</v>
      </c>
      <c r="K152">
        <v>1</v>
      </c>
      <c r="L152">
        <v>0</v>
      </c>
      <c r="M152">
        <v>7.9</v>
      </c>
      <c r="N152">
        <v>14.1</v>
      </c>
      <c r="O152">
        <v>0</v>
      </c>
      <c r="P152">
        <v>0</v>
      </c>
      <c r="Q152">
        <v>0</v>
      </c>
      <c r="R152">
        <v>0</v>
      </c>
      <c r="S152">
        <v>0</v>
      </c>
      <c r="T152">
        <v>1.2</v>
      </c>
      <c r="U152">
        <v>18.7</v>
      </c>
      <c r="V152">
        <v>27.7</v>
      </c>
      <c r="W152">
        <f t="shared" si="5"/>
        <v>-67.3</v>
      </c>
    </row>
    <row r="153" spans="1:23" x14ac:dyDescent="0.25">
      <c r="A153">
        <f t="shared" si="4"/>
        <v>151.5</v>
      </c>
      <c r="B153">
        <v>15417</v>
      </c>
      <c r="C153" t="s">
        <v>706</v>
      </c>
      <c r="D153" t="s">
        <v>145</v>
      </c>
      <c r="E153" t="s">
        <v>639</v>
      </c>
      <c r="F153">
        <v>16</v>
      </c>
      <c r="G153">
        <v>23</v>
      </c>
      <c r="H153">
        <v>13</v>
      </c>
      <c r="I153">
        <v>56.5</v>
      </c>
      <c r="J153">
        <v>147</v>
      </c>
      <c r="K153">
        <v>0</v>
      </c>
      <c r="L153">
        <v>0</v>
      </c>
      <c r="M153">
        <v>6.4</v>
      </c>
      <c r="N153">
        <v>11.3</v>
      </c>
      <c r="O153">
        <v>0</v>
      </c>
      <c r="P153">
        <v>0</v>
      </c>
      <c r="Q153">
        <v>0</v>
      </c>
      <c r="R153">
        <v>0</v>
      </c>
      <c r="S153">
        <v>0</v>
      </c>
      <c r="T153">
        <v>0.9</v>
      </c>
      <c r="U153">
        <v>14.7</v>
      </c>
      <c r="V153">
        <v>27.7</v>
      </c>
      <c r="W153">
        <f t="shared" si="5"/>
        <v>-67.3</v>
      </c>
    </row>
    <row r="154" spans="1:23" x14ac:dyDescent="0.25">
      <c r="A154">
        <f t="shared" si="4"/>
        <v>153.5</v>
      </c>
      <c r="B154">
        <v>13595</v>
      </c>
      <c r="C154" t="s">
        <v>524</v>
      </c>
      <c r="D154" t="s">
        <v>145</v>
      </c>
      <c r="E154" t="s">
        <v>408</v>
      </c>
      <c r="F154">
        <v>16</v>
      </c>
      <c r="G154">
        <v>16.100000000000001</v>
      </c>
      <c r="H154">
        <v>12</v>
      </c>
      <c r="I154">
        <v>75</v>
      </c>
      <c r="J154">
        <v>133</v>
      </c>
      <c r="K154">
        <v>0</v>
      </c>
      <c r="L154">
        <v>0</v>
      </c>
      <c r="M154">
        <v>8.3000000000000007</v>
      </c>
      <c r="N154">
        <v>11.1</v>
      </c>
      <c r="O154">
        <v>0</v>
      </c>
      <c r="P154">
        <v>0</v>
      </c>
      <c r="Q154">
        <v>0</v>
      </c>
      <c r="R154">
        <v>0</v>
      </c>
      <c r="S154">
        <v>0</v>
      </c>
      <c r="T154">
        <v>0.8</v>
      </c>
      <c r="U154">
        <v>13.3</v>
      </c>
      <c r="V154">
        <v>25.3</v>
      </c>
      <c r="W154">
        <f t="shared" si="5"/>
        <v>-69.7</v>
      </c>
    </row>
    <row r="155" spans="1:23" x14ac:dyDescent="0.25">
      <c r="A155">
        <f t="shared" si="4"/>
        <v>153.5</v>
      </c>
      <c r="B155">
        <v>16343</v>
      </c>
      <c r="C155" t="s">
        <v>828</v>
      </c>
      <c r="D155" t="s">
        <v>145</v>
      </c>
      <c r="E155" t="s">
        <v>768</v>
      </c>
      <c r="F155">
        <v>16</v>
      </c>
      <c r="G155">
        <v>14.9</v>
      </c>
      <c r="H155">
        <v>9</v>
      </c>
      <c r="I155">
        <v>60</v>
      </c>
      <c r="J155">
        <v>102</v>
      </c>
      <c r="K155">
        <v>1</v>
      </c>
      <c r="L155">
        <v>0</v>
      </c>
      <c r="M155">
        <v>6.8</v>
      </c>
      <c r="N155">
        <v>11.3</v>
      </c>
      <c r="O155">
        <v>0.3</v>
      </c>
      <c r="P155">
        <v>1</v>
      </c>
      <c r="Q155">
        <v>0</v>
      </c>
      <c r="R155">
        <v>0</v>
      </c>
      <c r="S155">
        <v>0</v>
      </c>
      <c r="T155">
        <v>1</v>
      </c>
      <c r="U155">
        <v>16.3</v>
      </c>
      <c r="V155">
        <v>25.3</v>
      </c>
      <c r="W155">
        <f t="shared" si="5"/>
        <v>-69.7</v>
      </c>
    </row>
    <row r="156" spans="1:23" x14ac:dyDescent="0.25">
      <c r="A156">
        <f t="shared" si="4"/>
        <v>155</v>
      </c>
      <c r="B156">
        <v>16081</v>
      </c>
      <c r="C156" t="s">
        <v>222</v>
      </c>
      <c r="D156" t="s">
        <v>145</v>
      </c>
      <c r="E156" t="s">
        <v>167</v>
      </c>
      <c r="F156">
        <v>16</v>
      </c>
      <c r="G156">
        <v>15.5</v>
      </c>
      <c r="H156">
        <v>9</v>
      </c>
      <c r="I156">
        <v>60</v>
      </c>
      <c r="J156">
        <v>98</v>
      </c>
      <c r="K156">
        <v>1</v>
      </c>
      <c r="L156">
        <v>0</v>
      </c>
      <c r="M156">
        <v>6.5</v>
      </c>
      <c r="N156">
        <v>10.9</v>
      </c>
      <c r="O156">
        <v>1</v>
      </c>
      <c r="P156">
        <v>3</v>
      </c>
      <c r="Q156">
        <v>0</v>
      </c>
      <c r="R156">
        <v>0</v>
      </c>
      <c r="S156">
        <v>0</v>
      </c>
      <c r="T156">
        <v>1</v>
      </c>
      <c r="U156">
        <v>16.100000000000001</v>
      </c>
      <c r="V156">
        <v>25.1</v>
      </c>
      <c r="W156">
        <f t="shared" si="5"/>
        <v>-69.900000000000006</v>
      </c>
    </row>
    <row r="157" spans="1:23" x14ac:dyDescent="0.25">
      <c r="A157">
        <f t="shared" si="4"/>
        <v>156</v>
      </c>
      <c r="B157">
        <v>15216</v>
      </c>
      <c r="C157" t="s">
        <v>542</v>
      </c>
      <c r="D157" t="s">
        <v>145</v>
      </c>
      <c r="E157" t="s">
        <v>417</v>
      </c>
      <c r="F157">
        <v>16</v>
      </c>
      <c r="G157">
        <v>15.9</v>
      </c>
      <c r="H157">
        <v>9</v>
      </c>
      <c r="I157">
        <v>56.2</v>
      </c>
      <c r="J157">
        <v>154</v>
      </c>
      <c r="K157">
        <v>0</v>
      </c>
      <c r="L157">
        <v>0</v>
      </c>
      <c r="M157">
        <v>9.6</v>
      </c>
      <c r="N157">
        <v>17.100000000000001</v>
      </c>
      <c r="O157">
        <v>0.3</v>
      </c>
      <c r="P157">
        <v>1</v>
      </c>
      <c r="Q157">
        <v>0</v>
      </c>
      <c r="R157">
        <v>0</v>
      </c>
      <c r="S157">
        <v>0</v>
      </c>
      <c r="T157">
        <v>1</v>
      </c>
      <c r="U157">
        <v>15.5</v>
      </c>
      <c r="V157">
        <v>24.5</v>
      </c>
      <c r="W157">
        <f t="shared" si="5"/>
        <v>-70.5</v>
      </c>
    </row>
    <row r="158" spans="1:23" x14ac:dyDescent="0.25">
      <c r="A158">
        <f t="shared" si="4"/>
        <v>157</v>
      </c>
      <c r="B158">
        <v>7857</v>
      </c>
      <c r="C158" t="s">
        <v>840</v>
      </c>
      <c r="D158" t="s">
        <v>145</v>
      </c>
      <c r="E158" t="s">
        <v>774</v>
      </c>
      <c r="F158">
        <v>16</v>
      </c>
      <c r="G158">
        <v>15.1</v>
      </c>
      <c r="H158">
        <v>10</v>
      </c>
      <c r="I158">
        <v>66.7</v>
      </c>
      <c r="J158">
        <v>143</v>
      </c>
      <c r="K158">
        <v>0</v>
      </c>
      <c r="L158">
        <v>0</v>
      </c>
      <c r="M158">
        <v>9.5</v>
      </c>
      <c r="N158">
        <v>14.3</v>
      </c>
      <c r="O158">
        <v>0</v>
      </c>
      <c r="P158">
        <v>0</v>
      </c>
      <c r="Q158">
        <v>0</v>
      </c>
      <c r="R158">
        <v>0</v>
      </c>
      <c r="S158">
        <v>0</v>
      </c>
      <c r="T158">
        <v>0.9</v>
      </c>
      <c r="U158">
        <v>14.3</v>
      </c>
      <c r="V158">
        <v>24.3</v>
      </c>
      <c r="W158">
        <f t="shared" si="5"/>
        <v>-70.7</v>
      </c>
    </row>
    <row r="159" spans="1:23" x14ac:dyDescent="0.25">
      <c r="A159">
        <f t="shared" si="4"/>
        <v>158</v>
      </c>
      <c r="B159">
        <v>15268</v>
      </c>
      <c r="C159" t="s">
        <v>211</v>
      </c>
      <c r="D159" t="s">
        <v>145</v>
      </c>
      <c r="E159" t="s">
        <v>162</v>
      </c>
      <c r="F159">
        <v>16</v>
      </c>
      <c r="G159">
        <v>12.2</v>
      </c>
      <c r="H159">
        <v>9</v>
      </c>
      <c r="I159">
        <v>75</v>
      </c>
      <c r="J159">
        <v>87</v>
      </c>
      <c r="K159">
        <v>1</v>
      </c>
      <c r="L159">
        <v>0</v>
      </c>
      <c r="M159">
        <v>7.2</v>
      </c>
      <c r="N159">
        <v>9.6999999999999993</v>
      </c>
      <c r="O159">
        <v>1</v>
      </c>
      <c r="P159">
        <v>3</v>
      </c>
      <c r="Q159">
        <v>0</v>
      </c>
      <c r="R159">
        <v>0</v>
      </c>
      <c r="S159">
        <v>0</v>
      </c>
      <c r="T159">
        <v>0.9</v>
      </c>
      <c r="U159">
        <v>15</v>
      </c>
      <c r="V159">
        <v>24</v>
      </c>
      <c r="W159">
        <f t="shared" si="5"/>
        <v>-71</v>
      </c>
    </row>
    <row r="160" spans="1:23" x14ac:dyDescent="0.25">
      <c r="A160">
        <f t="shared" si="4"/>
        <v>159</v>
      </c>
      <c r="B160">
        <v>13394</v>
      </c>
      <c r="C160" t="s">
        <v>231</v>
      </c>
      <c r="D160" t="s">
        <v>145</v>
      </c>
      <c r="E160" t="s">
        <v>172</v>
      </c>
      <c r="F160">
        <v>16</v>
      </c>
      <c r="G160">
        <v>13.4</v>
      </c>
      <c r="H160">
        <v>10</v>
      </c>
      <c r="I160">
        <v>76.900000000000006</v>
      </c>
      <c r="J160">
        <v>132</v>
      </c>
      <c r="K160">
        <v>0</v>
      </c>
      <c r="L160">
        <v>0</v>
      </c>
      <c r="M160">
        <v>10.199999999999999</v>
      </c>
      <c r="N160">
        <v>13.2</v>
      </c>
      <c r="O160">
        <v>0</v>
      </c>
      <c r="P160">
        <v>0</v>
      </c>
      <c r="Q160">
        <v>0</v>
      </c>
      <c r="R160">
        <v>0</v>
      </c>
      <c r="S160">
        <v>0</v>
      </c>
      <c r="T160">
        <v>0.8</v>
      </c>
      <c r="U160">
        <v>13.2</v>
      </c>
      <c r="V160">
        <v>23.2</v>
      </c>
      <c r="W160">
        <f t="shared" si="5"/>
        <v>-71.8</v>
      </c>
    </row>
    <row r="161" spans="1:23" x14ac:dyDescent="0.25">
      <c r="A161">
        <f t="shared" si="4"/>
        <v>160</v>
      </c>
      <c r="B161">
        <v>18445</v>
      </c>
      <c r="C161" t="s">
        <v>543</v>
      </c>
      <c r="D161" t="s">
        <v>145</v>
      </c>
      <c r="E161" t="s">
        <v>417</v>
      </c>
      <c r="F161">
        <v>16</v>
      </c>
      <c r="G161">
        <v>15.6</v>
      </c>
      <c r="H161">
        <v>9</v>
      </c>
      <c r="I161">
        <v>56.2</v>
      </c>
      <c r="J161">
        <v>140</v>
      </c>
      <c r="K161">
        <v>0</v>
      </c>
      <c r="L161">
        <v>0</v>
      </c>
      <c r="M161">
        <v>8.8000000000000007</v>
      </c>
      <c r="N161">
        <v>15.6</v>
      </c>
      <c r="O161">
        <v>0</v>
      </c>
      <c r="P161">
        <v>0</v>
      </c>
      <c r="Q161">
        <v>0</v>
      </c>
      <c r="R161">
        <v>0</v>
      </c>
      <c r="S161">
        <v>0</v>
      </c>
      <c r="T161">
        <v>0.9</v>
      </c>
      <c r="U161">
        <v>14</v>
      </c>
      <c r="V161">
        <v>23</v>
      </c>
      <c r="W161">
        <f t="shared" si="5"/>
        <v>-72</v>
      </c>
    </row>
    <row r="162" spans="1:23" x14ac:dyDescent="0.25">
      <c r="A162">
        <f t="shared" si="4"/>
        <v>161</v>
      </c>
      <c r="B162">
        <v>13974</v>
      </c>
      <c r="C162" t="s">
        <v>564</v>
      </c>
      <c r="D162" t="s">
        <v>145</v>
      </c>
      <c r="E162" t="s">
        <v>430</v>
      </c>
      <c r="F162">
        <v>16</v>
      </c>
      <c r="G162">
        <v>13.4</v>
      </c>
      <c r="H162">
        <v>10</v>
      </c>
      <c r="I162">
        <v>76.900000000000006</v>
      </c>
      <c r="J162">
        <v>126</v>
      </c>
      <c r="K162">
        <v>0</v>
      </c>
      <c r="L162">
        <v>0</v>
      </c>
      <c r="M162">
        <v>9.6999999999999993</v>
      </c>
      <c r="N162">
        <v>12.6</v>
      </c>
      <c r="O162">
        <v>0</v>
      </c>
      <c r="P162">
        <v>0</v>
      </c>
      <c r="Q162">
        <v>0</v>
      </c>
      <c r="R162">
        <v>0</v>
      </c>
      <c r="S162">
        <v>0</v>
      </c>
      <c r="T162">
        <v>0.8</v>
      </c>
      <c r="U162">
        <v>12.6</v>
      </c>
      <c r="V162">
        <v>22.6</v>
      </c>
      <c r="W162">
        <f t="shared" si="5"/>
        <v>-72.400000000000006</v>
      </c>
    </row>
    <row r="163" spans="1:23" x14ac:dyDescent="0.25">
      <c r="A163">
        <f t="shared" si="4"/>
        <v>162</v>
      </c>
      <c r="B163">
        <v>8373</v>
      </c>
      <c r="C163" t="s">
        <v>336</v>
      </c>
      <c r="D163" t="s">
        <v>145</v>
      </c>
      <c r="E163" t="s">
        <v>279</v>
      </c>
      <c r="F163">
        <v>16</v>
      </c>
      <c r="G163">
        <v>12.5</v>
      </c>
      <c r="H163">
        <v>7</v>
      </c>
      <c r="I163">
        <v>53.8</v>
      </c>
      <c r="J163">
        <v>91</v>
      </c>
      <c r="K163">
        <v>1</v>
      </c>
      <c r="L163">
        <v>0</v>
      </c>
      <c r="M163">
        <v>7</v>
      </c>
      <c r="N163">
        <v>13</v>
      </c>
      <c r="O163">
        <v>0</v>
      </c>
      <c r="P163">
        <v>0</v>
      </c>
      <c r="Q163">
        <v>0</v>
      </c>
      <c r="R163">
        <v>0</v>
      </c>
      <c r="S163">
        <v>0</v>
      </c>
      <c r="T163">
        <v>0.9</v>
      </c>
      <c r="U163">
        <v>15.1</v>
      </c>
      <c r="V163">
        <v>22.1</v>
      </c>
      <c r="W163">
        <f t="shared" si="5"/>
        <v>-72.900000000000006</v>
      </c>
    </row>
    <row r="164" spans="1:23" x14ac:dyDescent="0.25">
      <c r="A164">
        <f t="shared" si="4"/>
        <v>163</v>
      </c>
      <c r="B164">
        <v>16469</v>
      </c>
      <c r="C164" t="s">
        <v>506</v>
      </c>
      <c r="D164" t="s">
        <v>145</v>
      </c>
      <c r="E164" t="s">
        <v>397</v>
      </c>
      <c r="F164">
        <v>16</v>
      </c>
      <c r="G164">
        <v>15.7</v>
      </c>
      <c r="H164">
        <v>10</v>
      </c>
      <c r="I164">
        <v>62.5</v>
      </c>
      <c r="J164">
        <v>119</v>
      </c>
      <c r="K164">
        <v>0</v>
      </c>
      <c r="L164">
        <v>0</v>
      </c>
      <c r="M164">
        <v>7.4</v>
      </c>
      <c r="N164">
        <v>11.9</v>
      </c>
      <c r="O164">
        <v>0</v>
      </c>
      <c r="P164">
        <v>0</v>
      </c>
      <c r="Q164">
        <v>0</v>
      </c>
      <c r="R164">
        <v>0</v>
      </c>
      <c r="S164">
        <v>0</v>
      </c>
      <c r="T164">
        <v>0.7</v>
      </c>
      <c r="U164">
        <v>11.9</v>
      </c>
      <c r="V164">
        <v>21.9</v>
      </c>
      <c r="W164">
        <f t="shared" si="5"/>
        <v>-73.099999999999994</v>
      </c>
    </row>
    <row r="165" spans="1:23" x14ac:dyDescent="0.25">
      <c r="A165">
        <f t="shared" si="4"/>
        <v>164</v>
      </c>
      <c r="B165">
        <v>15150</v>
      </c>
      <c r="C165" t="s">
        <v>556</v>
      </c>
      <c r="D165" t="s">
        <v>145</v>
      </c>
      <c r="E165" t="s">
        <v>426</v>
      </c>
      <c r="F165">
        <v>16</v>
      </c>
      <c r="G165">
        <v>13.8</v>
      </c>
      <c r="H165">
        <v>9</v>
      </c>
      <c r="I165">
        <v>64.3</v>
      </c>
      <c r="J165">
        <v>116</v>
      </c>
      <c r="K165">
        <v>0</v>
      </c>
      <c r="L165">
        <v>0</v>
      </c>
      <c r="M165">
        <v>8.3000000000000007</v>
      </c>
      <c r="N165">
        <v>12.9</v>
      </c>
      <c r="O165">
        <v>2</v>
      </c>
      <c r="P165">
        <v>11</v>
      </c>
      <c r="Q165">
        <v>0</v>
      </c>
      <c r="R165">
        <v>0</v>
      </c>
      <c r="S165">
        <v>0</v>
      </c>
      <c r="T165">
        <v>0.8</v>
      </c>
      <c r="U165">
        <v>12.7</v>
      </c>
      <c r="V165">
        <v>21.700000000000003</v>
      </c>
      <c r="W165">
        <f t="shared" si="5"/>
        <v>-73.3</v>
      </c>
    </row>
    <row r="166" spans="1:23" x14ac:dyDescent="0.25">
      <c r="A166">
        <f t="shared" si="4"/>
        <v>165</v>
      </c>
      <c r="B166">
        <v>18030</v>
      </c>
      <c r="C166" t="s">
        <v>223</v>
      </c>
      <c r="D166" t="s">
        <v>145</v>
      </c>
      <c r="E166" t="s">
        <v>167</v>
      </c>
      <c r="F166">
        <v>16</v>
      </c>
      <c r="G166">
        <v>11.9</v>
      </c>
      <c r="H166">
        <v>9</v>
      </c>
      <c r="I166">
        <v>75</v>
      </c>
      <c r="J166">
        <v>140</v>
      </c>
      <c r="K166">
        <v>0</v>
      </c>
      <c r="L166">
        <v>0</v>
      </c>
      <c r="M166">
        <v>11.7</v>
      </c>
      <c r="N166">
        <v>15.6</v>
      </c>
      <c r="O166">
        <v>0</v>
      </c>
      <c r="P166">
        <v>0</v>
      </c>
      <c r="Q166">
        <v>0</v>
      </c>
      <c r="R166">
        <v>1</v>
      </c>
      <c r="S166">
        <v>1</v>
      </c>
      <c r="T166">
        <v>0.8</v>
      </c>
      <c r="U166">
        <v>12</v>
      </c>
      <c r="V166">
        <v>21</v>
      </c>
      <c r="W166">
        <f t="shared" si="5"/>
        <v>-74</v>
      </c>
    </row>
    <row r="167" spans="1:23" x14ac:dyDescent="0.25">
      <c r="A167">
        <f t="shared" si="4"/>
        <v>166</v>
      </c>
      <c r="B167">
        <v>18099</v>
      </c>
      <c r="C167" t="s">
        <v>224</v>
      </c>
      <c r="D167" t="s">
        <v>145</v>
      </c>
      <c r="E167" t="s">
        <v>167</v>
      </c>
      <c r="F167">
        <v>16</v>
      </c>
      <c r="G167">
        <v>9.5</v>
      </c>
      <c r="H167">
        <v>7</v>
      </c>
      <c r="I167">
        <v>77.8</v>
      </c>
      <c r="J167">
        <v>85</v>
      </c>
      <c r="K167">
        <v>1</v>
      </c>
      <c r="L167">
        <v>0</v>
      </c>
      <c r="M167">
        <v>9.4</v>
      </c>
      <c r="N167">
        <v>12.1</v>
      </c>
      <c r="O167">
        <v>2</v>
      </c>
      <c r="P167">
        <v>14</v>
      </c>
      <c r="Q167">
        <v>0</v>
      </c>
      <c r="R167">
        <v>1</v>
      </c>
      <c r="S167">
        <v>1</v>
      </c>
      <c r="T167">
        <v>0.9</v>
      </c>
      <c r="U167">
        <v>13.9</v>
      </c>
      <c r="V167">
        <v>20.9</v>
      </c>
      <c r="W167">
        <f t="shared" si="5"/>
        <v>-74.099999999999994</v>
      </c>
    </row>
    <row r="168" spans="1:23" x14ac:dyDescent="0.25">
      <c r="A168">
        <f t="shared" si="4"/>
        <v>167</v>
      </c>
      <c r="B168">
        <v>18159</v>
      </c>
      <c r="C168" t="s">
        <v>833</v>
      </c>
      <c r="D168" t="s">
        <v>145</v>
      </c>
      <c r="E168" t="s">
        <v>772</v>
      </c>
      <c r="F168">
        <v>16</v>
      </c>
      <c r="G168">
        <v>12.2</v>
      </c>
      <c r="H168">
        <v>8</v>
      </c>
      <c r="I168">
        <v>66.7</v>
      </c>
      <c r="J168">
        <v>128</v>
      </c>
      <c r="K168">
        <v>0</v>
      </c>
      <c r="L168">
        <v>0</v>
      </c>
      <c r="M168">
        <v>10.7</v>
      </c>
      <c r="N168">
        <v>16</v>
      </c>
      <c r="O168">
        <v>0</v>
      </c>
      <c r="P168">
        <v>0</v>
      </c>
      <c r="Q168">
        <v>0</v>
      </c>
      <c r="R168">
        <v>0</v>
      </c>
      <c r="S168">
        <v>0</v>
      </c>
      <c r="T168">
        <v>0.8</v>
      </c>
      <c r="U168">
        <v>12.8</v>
      </c>
      <c r="V168">
        <v>20.8</v>
      </c>
      <c r="W168">
        <f t="shared" si="5"/>
        <v>-74.2</v>
      </c>
    </row>
    <row r="169" spans="1:23" x14ac:dyDescent="0.25">
      <c r="A169">
        <f t="shared" si="4"/>
        <v>168.5</v>
      </c>
      <c r="B169">
        <v>18082</v>
      </c>
      <c r="C169" t="s">
        <v>531</v>
      </c>
      <c r="D169" t="s">
        <v>145</v>
      </c>
      <c r="E169" t="s">
        <v>411</v>
      </c>
      <c r="F169">
        <v>16</v>
      </c>
      <c r="G169">
        <v>9.9</v>
      </c>
      <c r="H169">
        <v>7</v>
      </c>
      <c r="I169">
        <v>70</v>
      </c>
      <c r="J169">
        <v>77</v>
      </c>
      <c r="K169">
        <v>1</v>
      </c>
      <c r="L169">
        <v>0</v>
      </c>
      <c r="M169">
        <v>7.7</v>
      </c>
      <c r="N169">
        <v>11</v>
      </c>
      <c r="O169">
        <v>0</v>
      </c>
      <c r="P169">
        <v>0</v>
      </c>
      <c r="Q169">
        <v>0</v>
      </c>
      <c r="R169">
        <v>0</v>
      </c>
      <c r="S169">
        <v>0</v>
      </c>
      <c r="T169">
        <v>0.9</v>
      </c>
      <c r="U169">
        <v>13.7</v>
      </c>
      <c r="V169">
        <v>20.7</v>
      </c>
      <c r="W169">
        <f t="shared" si="5"/>
        <v>-74.3</v>
      </c>
    </row>
    <row r="170" spans="1:23" x14ac:dyDescent="0.25">
      <c r="A170">
        <f t="shared" si="4"/>
        <v>168.5</v>
      </c>
      <c r="B170">
        <v>15659</v>
      </c>
      <c r="C170" t="s">
        <v>864</v>
      </c>
      <c r="D170" t="s">
        <v>145</v>
      </c>
      <c r="E170" t="s">
        <v>787</v>
      </c>
      <c r="F170">
        <v>16</v>
      </c>
      <c r="G170">
        <v>8.9</v>
      </c>
      <c r="H170">
        <v>6</v>
      </c>
      <c r="I170">
        <v>66.7</v>
      </c>
      <c r="J170">
        <v>87</v>
      </c>
      <c r="K170">
        <v>1</v>
      </c>
      <c r="L170">
        <v>0</v>
      </c>
      <c r="M170">
        <v>9.6999999999999993</v>
      </c>
      <c r="N170">
        <v>14.5</v>
      </c>
      <c r="O170">
        <v>0</v>
      </c>
      <c r="P170">
        <v>0</v>
      </c>
      <c r="Q170">
        <v>0</v>
      </c>
      <c r="R170">
        <v>0</v>
      </c>
      <c r="S170">
        <v>0</v>
      </c>
      <c r="T170">
        <v>0.9</v>
      </c>
      <c r="U170">
        <v>14.7</v>
      </c>
      <c r="V170">
        <v>20.7</v>
      </c>
      <c r="W170">
        <f t="shared" si="5"/>
        <v>-74.3</v>
      </c>
    </row>
    <row r="171" spans="1:23" x14ac:dyDescent="0.25">
      <c r="A171">
        <f t="shared" si="4"/>
        <v>170</v>
      </c>
      <c r="B171">
        <v>18146</v>
      </c>
      <c r="C171" t="s">
        <v>328</v>
      </c>
      <c r="D171" t="s">
        <v>145</v>
      </c>
      <c r="E171" t="s">
        <v>273</v>
      </c>
      <c r="F171">
        <v>16</v>
      </c>
      <c r="G171">
        <v>16.2</v>
      </c>
      <c r="H171">
        <v>10</v>
      </c>
      <c r="I171">
        <v>62.5</v>
      </c>
      <c r="J171">
        <v>105</v>
      </c>
      <c r="K171">
        <v>0</v>
      </c>
      <c r="L171">
        <v>0</v>
      </c>
      <c r="M171">
        <v>6.6</v>
      </c>
      <c r="N171">
        <v>10.5</v>
      </c>
      <c r="O171">
        <v>0</v>
      </c>
      <c r="P171">
        <v>0</v>
      </c>
      <c r="Q171">
        <v>0</v>
      </c>
      <c r="R171">
        <v>0</v>
      </c>
      <c r="S171">
        <v>0</v>
      </c>
      <c r="T171">
        <v>0.7</v>
      </c>
      <c r="U171">
        <v>10.5</v>
      </c>
      <c r="V171">
        <v>20.5</v>
      </c>
      <c r="W171">
        <f t="shared" si="5"/>
        <v>-74.5</v>
      </c>
    </row>
    <row r="172" spans="1:23" x14ac:dyDescent="0.25">
      <c r="A172">
        <f t="shared" si="4"/>
        <v>171</v>
      </c>
      <c r="B172">
        <v>14850</v>
      </c>
      <c r="C172" t="s">
        <v>849</v>
      </c>
      <c r="D172" t="s">
        <v>145</v>
      </c>
      <c r="E172" t="s">
        <v>779</v>
      </c>
      <c r="F172">
        <v>16</v>
      </c>
      <c r="G172">
        <v>10</v>
      </c>
      <c r="H172">
        <v>6</v>
      </c>
      <c r="I172">
        <v>60</v>
      </c>
      <c r="J172">
        <v>79</v>
      </c>
      <c r="K172">
        <v>1</v>
      </c>
      <c r="L172">
        <v>0</v>
      </c>
      <c r="M172">
        <v>7.9</v>
      </c>
      <c r="N172">
        <v>13.2</v>
      </c>
      <c r="O172">
        <v>0</v>
      </c>
      <c r="P172">
        <v>0</v>
      </c>
      <c r="Q172">
        <v>0</v>
      </c>
      <c r="R172">
        <v>0</v>
      </c>
      <c r="S172">
        <v>0</v>
      </c>
      <c r="T172">
        <v>0.9</v>
      </c>
      <c r="U172">
        <v>13.9</v>
      </c>
      <c r="V172">
        <v>19.899999999999999</v>
      </c>
      <c r="W172">
        <f t="shared" si="5"/>
        <v>-75.099999999999994</v>
      </c>
    </row>
    <row r="173" spans="1:23" x14ac:dyDescent="0.25">
      <c r="A173">
        <f t="shared" si="4"/>
        <v>172.5</v>
      </c>
      <c r="B173">
        <v>18109</v>
      </c>
      <c r="C173" t="s">
        <v>232</v>
      </c>
      <c r="D173" t="s">
        <v>145</v>
      </c>
      <c r="E173" t="s">
        <v>172</v>
      </c>
      <c r="F173">
        <v>16</v>
      </c>
      <c r="G173">
        <v>11.7</v>
      </c>
      <c r="H173">
        <v>8</v>
      </c>
      <c r="I173">
        <v>66.7</v>
      </c>
      <c r="J173">
        <v>112</v>
      </c>
      <c r="K173">
        <v>0</v>
      </c>
      <c r="L173">
        <v>0</v>
      </c>
      <c r="M173">
        <v>9.3000000000000007</v>
      </c>
      <c r="N173">
        <v>14</v>
      </c>
      <c r="O173">
        <v>0</v>
      </c>
      <c r="P173">
        <v>0</v>
      </c>
      <c r="Q173">
        <v>0</v>
      </c>
      <c r="R173">
        <v>0</v>
      </c>
      <c r="S173">
        <v>0</v>
      </c>
      <c r="T173">
        <v>0.7</v>
      </c>
      <c r="U173">
        <v>11.2</v>
      </c>
      <c r="V173">
        <v>19.2</v>
      </c>
      <c r="W173">
        <f t="shared" si="5"/>
        <v>-75.8</v>
      </c>
    </row>
    <row r="174" spans="1:23" x14ac:dyDescent="0.25">
      <c r="A174">
        <f t="shared" si="4"/>
        <v>172.5</v>
      </c>
      <c r="B174">
        <v>13856</v>
      </c>
      <c r="C174" t="s">
        <v>329</v>
      </c>
      <c r="D174" t="s">
        <v>145</v>
      </c>
      <c r="E174" t="s">
        <v>273</v>
      </c>
      <c r="F174">
        <v>16</v>
      </c>
      <c r="G174">
        <v>7.6</v>
      </c>
      <c r="H174">
        <v>5</v>
      </c>
      <c r="I174">
        <v>62.5</v>
      </c>
      <c r="J174">
        <v>82</v>
      </c>
      <c r="K174">
        <v>1</v>
      </c>
      <c r="L174">
        <v>0</v>
      </c>
      <c r="M174">
        <v>10.199999999999999</v>
      </c>
      <c r="N174">
        <v>16.399999999999999</v>
      </c>
      <c r="O174">
        <v>0</v>
      </c>
      <c r="P174">
        <v>0</v>
      </c>
      <c r="Q174">
        <v>0</v>
      </c>
      <c r="R174">
        <v>0</v>
      </c>
      <c r="S174">
        <v>0</v>
      </c>
      <c r="T174">
        <v>0.9</v>
      </c>
      <c r="U174">
        <v>14.2</v>
      </c>
      <c r="V174">
        <v>19.2</v>
      </c>
      <c r="W174">
        <f t="shared" si="5"/>
        <v>-75.8</v>
      </c>
    </row>
    <row r="175" spans="1:23" x14ac:dyDescent="0.25">
      <c r="A175">
        <f t="shared" si="4"/>
        <v>174</v>
      </c>
      <c r="B175">
        <v>18240</v>
      </c>
      <c r="C175" t="s">
        <v>242</v>
      </c>
      <c r="D175" t="s">
        <v>145</v>
      </c>
      <c r="E175" t="s">
        <v>176</v>
      </c>
      <c r="F175">
        <v>16</v>
      </c>
      <c r="G175">
        <v>13.4</v>
      </c>
      <c r="H175">
        <v>8</v>
      </c>
      <c r="I175">
        <v>61.5</v>
      </c>
      <c r="J175">
        <v>111</v>
      </c>
      <c r="K175">
        <v>0</v>
      </c>
      <c r="L175">
        <v>0</v>
      </c>
      <c r="M175">
        <v>8.5</v>
      </c>
      <c r="N175">
        <v>13.9</v>
      </c>
      <c r="O175">
        <v>0</v>
      </c>
      <c r="P175">
        <v>0</v>
      </c>
      <c r="Q175">
        <v>0</v>
      </c>
      <c r="R175">
        <v>0</v>
      </c>
      <c r="S175">
        <v>0</v>
      </c>
      <c r="T175">
        <v>0.7</v>
      </c>
      <c r="U175">
        <v>11.1</v>
      </c>
      <c r="V175">
        <v>19.100000000000001</v>
      </c>
      <c r="W175">
        <f t="shared" si="5"/>
        <v>-75.900000000000006</v>
      </c>
    </row>
    <row r="176" spans="1:23" x14ac:dyDescent="0.25">
      <c r="A176">
        <f t="shared" si="4"/>
        <v>175</v>
      </c>
      <c r="B176">
        <v>17167</v>
      </c>
      <c r="C176" t="s">
        <v>330</v>
      </c>
      <c r="D176" t="s">
        <v>145</v>
      </c>
      <c r="E176" t="s">
        <v>273</v>
      </c>
      <c r="F176">
        <v>16</v>
      </c>
      <c r="G176">
        <v>12.6</v>
      </c>
      <c r="H176">
        <v>9</v>
      </c>
      <c r="I176">
        <v>69.2</v>
      </c>
      <c r="J176">
        <v>99</v>
      </c>
      <c r="K176">
        <v>0</v>
      </c>
      <c r="L176">
        <v>0</v>
      </c>
      <c r="M176">
        <v>7.6</v>
      </c>
      <c r="N176">
        <v>11</v>
      </c>
      <c r="O176">
        <v>0</v>
      </c>
      <c r="P176">
        <v>0</v>
      </c>
      <c r="Q176">
        <v>0</v>
      </c>
      <c r="R176">
        <v>0</v>
      </c>
      <c r="S176">
        <v>0</v>
      </c>
      <c r="T176">
        <v>0.6</v>
      </c>
      <c r="U176">
        <v>9.9</v>
      </c>
      <c r="V176">
        <v>18.899999999999999</v>
      </c>
      <c r="W176">
        <f t="shared" si="5"/>
        <v>-76.099999999999994</v>
      </c>
    </row>
    <row r="177" spans="1:23" x14ac:dyDescent="0.25">
      <c r="A177">
        <f t="shared" si="4"/>
        <v>176</v>
      </c>
      <c r="B177">
        <v>14865</v>
      </c>
      <c r="C177" t="s">
        <v>233</v>
      </c>
      <c r="D177" t="s">
        <v>145</v>
      </c>
      <c r="E177" t="s">
        <v>172</v>
      </c>
      <c r="F177">
        <v>16</v>
      </c>
      <c r="G177">
        <v>7.9</v>
      </c>
      <c r="H177">
        <v>5</v>
      </c>
      <c r="I177">
        <v>62.5</v>
      </c>
      <c r="J177">
        <v>75</v>
      </c>
      <c r="K177">
        <v>1</v>
      </c>
      <c r="L177">
        <v>0</v>
      </c>
      <c r="M177">
        <v>9.4</v>
      </c>
      <c r="N177">
        <v>15</v>
      </c>
      <c r="O177">
        <v>0.3</v>
      </c>
      <c r="P177">
        <v>1</v>
      </c>
      <c r="Q177">
        <v>0</v>
      </c>
      <c r="R177">
        <v>0</v>
      </c>
      <c r="S177">
        <v>0</v>
      </c>
      <c r="T177">
        <v>0.8</v>
      </c>
      <c r="U177">
        <v>13.6</v>
      </c>
      <c r="V177">
        <v>18.600000000000001</v>
      </c>
      <c r="W177">
        <f t="shared" si="5"/>
        <v>-76.400000000000006</v>
      </c>
    </row>
    <row r="178" spans="1:23" x14ac:dyDescent="0.25">
      <c r="A178">
        <f t="shared" si="4"/>
        <v>177</v>
      </c>
      <c r="B178">
        <v>18103</v>
      </c>
      <c r="C178" t="s">
        <v>549</v>
      </c>
      <c r="D178" t="s">
        <v>145</v>
      </c>
      <c r="E178" t="s">
        <v>421</v>
      </c>
      <c r="F178">
        <v>16</v>
      </c>
      <c r="G178">
        <v>9.6999999999999993</v>
      </c>
      <c r="H178">
        <v>7</v>
      </c>
      <c r="I178">
        <v>70</v>
      </c>
      <c r="J178">
        <v>81</v>
      </c>
      <c r="K178">
        <v>0</v>
      </c>
      <c r="L178">
        <v>0</v>
      </c>
      <c r="M178">
        <v>8.1</v>
      </c>
      <c r="N178">
        <v>11.6</v>
      </c>
      <c r="O178">
        <v>6</v>
      </c>
      <c r="P178">
        <v>34</v>
      </c>
      <c r="Q178">
        <v>0</v>
      </c>
      <c r="R178">
        <v>0</v>
      </c>
      <c r="S178">
        <v>0</v>
      </c>
      <c r="T178">
        <v>0.7</v>
      </c>
      <c r="U178">
        <v>11.5</v>
      </c>
      <c r="V178">
        <v>18.5</v>
      </c>
      <c r="W178">
        <f t="shared" si="5"/>
        <v>-76.5</v>
      </c>
    </row>
    <row r="179" spans="1:23" x14ac:dyDescent="0.25">
      <c r="A179">
        <f t="shared" si="4"/>
        <v>178</v>
      </c>
      <c r="B179">
        <v>14594</v>
      </c>
      <c r="C179" t="s">
        <v>550</v>
      </c>
      <c r="D179" t="s">
        <v>145</v>
      </c>
      <c r="E179" t="s">
        <v>421</v>
      </c>
      <c r="F179">
        <v>16</v>
      </c>
      <c r="G179">
        <v>11.7</v>
      </c>
      <c r="H179">
        <v>9</v>
      </c>
      <c r="I179">
        <v>75</v>
      </c>
      <c r="J179">
        <v>105</v>
      </c>
      <c r="K179">
        <v>0</v>
      </c>
      <c r="L179">
        <v>0</v>
      </c>
      <c r="M179">
        <v>8.8000000000000007</v>
      </c>
      <c r="N179">
        <v>11.7</v>
      </c>
      <c r="O179">
        <v>0</v>
      </c>
      <c r="P179">
        <v>0</v>
      </c>
      <c r="Q179">
        <v>0</v>
      </c>
      <c r="R179">
        <v>1</v>
      </c>
      <c r="S179">
        <v>1</v>
      </c>
      <c r="T179">
        <v>0.5</v>
      </c>
      <c r="U179">
        <v>8.5</v>
      </c>
      <c r="V179">
        <v>17.5</v>
      </c>
      <c r="W179">
        <f t="shared" si="5"/>
        <v>-77.5</v>
      </c>
    </row>
    <row r="180" spans="1:23" x14ac:dyDescent="0.25">
      <c r="A180">
        <f t="shared" si="4"/>
        <v>179</v>
      </c>
      <c r="B180">
        <v>11084</v>
      </c>
      <c r="C180" t="s">
        <v>331</v>
      </c>
      <c r="D180" t="s">
        <v>145</v>
      </c>
      <c r="E180" t="s">
        <v>273</v>
      </c>
      <c r="F180">
        <v>16</v>
      </c>
      <c r="G180">
        <v>10.1</v>
      </c>
      <c r="H180">
        <v>7</v>
      </c>
      <c r="I180">
        <v>70</v>
      </c>
      <c r="J180">
        <v>101</v>
      </c>
      <c r="K180">
        <v>0</v>
      </c>
      <c r="L180">
        <v>0</v>
      </c>
      <c r="M180">
        <v>10.1</v>
      </c>
      <c r="N180">
        <v>14.4</v>
      </c>
      <c r="O180">
        <v>0.5</v>
      </c>
      <c r="P180">
        <v>2</v>
      </c>
      <c r="Q180">
        <v>0</v>
      </c>
      <c r="R180">
        <v>0</v>
      </c>
      <c r="S180">
        <v>0</v>
      </c>
      <c r="T180">
        <v>0.6</v>
      </c>
      <c r="U180">
        <v>10.3</v>
      </c>
      <c r="V180">
        <v>17.3</v>
      </c>
      <c r="W180">
        <f t="shared" si="5"/>
        <v>-77.7</v>
      </c>
    </row>
    <row r="181" spans="1:23" x14ac:dyDescent="0.25">
      <c r="A181">
        <f t="shared" si="4"/>
        <v>180</v>
      </c>
      <c r="B181">
        <v>17355</v>
      </c>
      <c r="C181" t="s">
        <v>518</v>
      </c>
      <c r="D181" t="s">
        <v>145</v>
      </c>
      <c r="E181" t="s">
        <v>404</v>
      </c>
      <c r="F181">
        <v>16</v>
      </c>
      <c r="G181">
        <v>12</v>
      </c>
      <c r="H181">
        <v>8</v>
      </c>
      <c r="I181">
        <v>66.7</v>
      </c>
      <c r="J181">
        <v>87</v>
      </c>
      <c r="K181">
        <v>0</v>
      </c>
      <c r="L181">
        <v>0</v>
      </c>
      <c r="M181">
        <v>7.2</v>
      </c>
      <c r="N181">
        <v>10.9</v>
      </c>
      <c r="O181">
        <v>0</v>
      </c>
      <c r="P181">
        <v>0</v>
      </c>
      <c r="Q181">
        <v>0</v>
      </c>
      <c r="R181">
        <v>0</v>
      </c>
      <c r="S181">
        <v>0</v>
      </c>
      <c r="T181">
        <v>0.5</v>
      </c>
      <c r="U181">
        <v>8.6999999999999993</v>
      </c>
      <c r="V181">
        <v>16.7</v>
      </c>
      <c r="W181">
        <f t="shared" si="5"/>
        <v>-78.3</v>
      </c>
    </row>
    <row r="182" spans="1:23" x14ac:dyDescent="0.25">
      <c r="A182">
        <f t="shared" si="4"/>
        <v>181</v>
      </c>
      <c r="B182">
        <v>14111</v>
      </c>
      <c r="C182" t="s">
        <v>532</v>
      </c>
      <c r="D182" t="s">
        <v>145</v>
      </c>
      <c r="E182" t="s">
        <v>411</v>
      </c>
      <c r="F182">
        <v>16</v>
      </c>
      <c r="G182">
        <v>11.4</v>
      </c>
      <c r="H182">
        <v>7</v>
      </c>
      <c r="I182">
        <v>63.6</v>
      </c>
      <c r="J182">
        <v>95</v>
      </c>
      <c r="K182">
        <v>0</v>
      </c>
      <c r="L182">
        <v>0</v>
      </c>
      <c r="M182">
        <v>8.6</v>
      </c>
      <c r="N182">
        <v>13.6</v>
      </c>
      <c r="O182">
        <v>0</v>
      </c>
      <c r="P182">
        <v>0</v>
      </c>
      <c r="Q182">
        <v>0</v>
      </c>
      <c r="R182">
        <v>0</v>
      </c>
      <c r="S182">
        <v>0</v>
      </c>
      <c r="T182">
        <v>0.6</v>
      </c>
      <c r="U182">
        <v>9.5</v>
      </c>
      <c r="V182">
        <v>16.5</v>
      </c>
      <c r="W182">
        <f t="shared" si="5"/>
        <v>-78.5</v>
      </c>
    </row>
    <row r="183" spans="1:23" x14ac:dyDescent="0.25">
      <c r="A183">
        <f t="shared" si="4"/>
        <v>182</v>
      </c>
      <c r="B183">
        <v>18036</v>
      </c>
      <c r="C183" t="s">
        <v>344</v>
      </c>
      <c r="D183" t="s">
        <v>145</v>
      </c>
      <c r="E183" t="s">
        <v>283</v>
      </c>
      <c r="F183">
        <v>16</v>
      </c>
      <c r="G183">
        <v>11.1</v>
      </c>
      <c r="H183">
        <v>8</v>
      </c>
      <c r="I183">
        <v>72.7</v>
      </c>
      <c r="J183">
        <v>104</v>
      </c>
      <c r="K183">
        <v>0</v>
      </c>
      <c r="L183">
        <v>0</v>
      </c>
      <c r="M183">
        <v>9.5</v>
      </c>
      <c r="N183">
        <v>13</v>
      </c>
      <c r="O183">
        <v>0</v>
      </c>
      <c r="P183">
        <v>0</v>
      </c>
      <c r="Q183">
        <v>0</v>
      </c>
      <c r="R183">
        <v>1</v>
      </c>
      <c r="S183">
        <v>1</v>
      </c>
      <c r="T183">
        <v>0.5</v>
      </c>
      <c r="U183">
        <v>8.4</v>
      </c>
      <c r="V183">
        <v>16.399999999999999</v>
      </c>
      <c r="W183">
        <f t="shared" si="5"/>
        <v>-78.599999999999994</v>
      </c>
    </row>
    <row r="184" spans="1:23" x14ac:dyDescent="0.25">
      <c r="A184">
        <f t="shared" si="4"/>
        <v>183</v>
      </c>
      <c r="B184">
        <v>9739</v>
      </c>
      <c r="C184" t="s">
        <v>693</v>
      </c>
      <c r="D184" t="s">
        <v>145</v>
      </c>
      <c r="E184" t="s">
        <v>631</v>
      </c>
      <c r="F184">
        <v>16</v>
      </c>
      <c r="G184">
        <v>11.3</v>
      </c>
      <c r="H184">
        <v>7</v>
      </c>
      <c r="I184">
        <v>63.6</v>
      </c>
      <c r="J184">
        <v>89</v>
      </c>
      <c r="K184">
        <v>0</v>
      </c>
      <c r="L184">
        <v>0</v>
      </c>
      <c r="M184">
        <v>8.1</v>
      </c>
      <c r="N184">
        <v>12.7</v>
      </c>
      <c r="O184">
        <v>0</v>
      </c>
      <c r="P184">
        <v>0</v>
      </c>
      <c r="Q184">
        <v>0</v>
      </c>
      <c r="R184">
        <v>0</v>
      </c>
      <c r="S184">
        <v>0</v>
      </c>
      <c r="T184">
        <v>0.6</v>
      </c>
      <c r="U184">
        <v>8.9</v>
      </c>
      <c r="V184">
        <v>15.9</v>
      </c>
      <c r="W184">
        <f t="shared" si="5"/>
        <v>-79.099999999999994</v>
      </c>
    </row>
    <row r="185" spans="1:23" x14ac:dyDescent="0.25">
      <c r="A185">
        <f t="shared" si="4"/>
        <v>184</v>
      </c>
      <c r="B185">
        <v>14787</v>
      </c>
      <c r="C185" t="s">
        <v>707</v>
      </c>
      <c r="D185" t="s">
        <v>145</v>
      </c>
      <c r="E185" t="s">
        <v>639</v>
      </c>
      <c r="F185">
        <v>16</v>
      </c>
      <c r="G185">
        <v>6.8</v>
      </c>
      <c r="H185">
        <v>4</v>
      </c>
      <c r="I185">
        <v>57.1</v>
      </c>
      <c r="J185">
        <v>45</v>
      </c>
      <c r="K185">
        <v>1</v>
      </c>
      <c r="L185">
        <v>0</v>
      </c>
      <c r="M185">
        <v>6.4</v>
      </c>
      <c r="N185">
        <v>11.2</v>
      </c>
      <c r="O185">
        <v>0.3</v>
      </c>
      <c r="P185">
        <v>1</v>
      </c>
      <c r="Q185">
        <v>0</v>
      </c>
      <c r="R185">
        <v>0</v>
      </c>
      <c r="S185">
        <v>0</v>
      </c>
      <c r="T185">
        <v>0.7</v>
      </c>
      <c r="U185">
        <v>10.6</v>
      </c>
      <c r="V185">
        <v>14.6</v>
      </c>
      <c r="W185">
        <f t="shared" si="5"/>
        <v>-80.400000000000006</v>
      </c>
    </row>
    <row r="186" spans="1:23" x14ac:dyDescent="0.25">
      <c r="A186">
        <f t="shared" si="4"/>
        <v>185</v>
      </c>
      <c r="B186">
        <v>17271</v>
      </c>
      <c r="C186" t="s">
        <v>544</v>
      </c>
      <c r="D186" t="s">
        <v>145</v>
      </c>
      <c r="E186" t="s">
        <v>417</v>
      </c>
      <c r="F186">
        <v>16</v>
      </c>
      <c r="G186">
        <v>12.5</v>
      </c>
      <c r="H186">
        <v>8</v>
      </c>
      <c r="I186">
        <v>66.7</v>
      </c>
      <c r="J186">
        <v>65</v>
      </c>
      <c r="K186">
        <v>0</v>
      </c>
      <c r="L186">
        <v>0</v>
      </c>
      <c r="M186">
        <v>5.4</v>
      </c>
      <c r="N186">
        <v>8.1</v>
      </c>
      <c r="O186">
        <v>0</v>
      </c>
      <c r="P186">
        <v>0</v>
      </c>
      <c r="Q186">
        <v>0</v>
      </c>
      <c r="R186">
        <v>0</v>
      </c>
      <c r="S186">
        <v>0</v>
      </c>
      <c r="T186">
        <v>0.4</v>
      </c>
      <c r="U186">
        <v>6.5</v>
      </c>
      <c r="V186">
        <v>14.5</v>
      </c>
      <c r="W186">
        <f t="shared" si="5"/>
        <v>-80.5</v>
      </c>
    </row>
    <row r="187" spans="1:23" x14ac:dyDescent="0.25">
      <c r="A187">
        <f t="shared" si="4"/>
        <v>186</v>
      </c>
      <c r="B187">
        <v>7082</v>
      </c>
      <c r="C187" t="s">
        <v>212</v>
      </c>
      <c r="D187" t="s">
        <v>145</v>
      </c>
      <c r="E187" t="s">
        <v>162</v>
      </c>
      <c r="F187">
        <v>16</v>
      </c>
      <c r="G187">
        <v>9</v>
      </c>
      <c r="H187">
        <v>6</v>
      </c>
      <c r="I187">
        <v>66.7</v>
      </c>
      <c r="J187">
        <v>78</v>
      </c>
      <c r="K187">
        <v>0</v>
      </c>
      <c r="L187">
        <v>0</v>
      </c>
      <c r="M187">
        <v>8.6999999999999993</v>
      </c>
      <c r="N187">
        <v>13</v>
      </c>
      <c r="O187">
        <v>1</v>
      </c>
      <c r="P187">
        <v>4</v>
      </c>
      <c r="Q187">
        <v>0</v>
      </c>
      <c r="R187">
        <v>0</v>
      </c>
      <c r="S187">
        <v>0</v>
      </c>
      <c r="T187">
        <v>0.5</v>
      </c>
      <c r="U187">
        <v>8.1999999999999993</v>
      </c>
      <c r="V187">
        <v>14.200000000000001</v>
      </c>
      <c r="W187">
        <f t="shared" si="5"/>
        <v>-80.8</v>
      </c>
    </row>
    <row r="188" spans="1:23" x14ac:dyDescent="0.25">
      <c r="A188">
        <f t="shared" si="4"/>
        <v>187</v>
      </c>
      <c r="B188">
        <v>15714</v>
      </c>
      <c r="C188" t="s">
        <v>243</v>
      </c>
      <c r="D188" t="s">
        <v>145</v>
      </c>
      <c r="E188" t="s">
        <v>176</v>
      </c>
      <c r="F188">
        <v>16</v>
      </c>
      <c r="G188">
        <v>10.8</v>
      </c>
      <c r="H188">
        <v>8</v>
      </c>
      <c r="I188">
        <v>72.7</v>
      </c>
      <c r="J188">
        <v>102</v>
      </c>
      <c r="K188">
        <v>0</v>
      </c>
      <c r="L188">
        <v>0</v>
      </c>
      <c r="M188">
        <v>9.3000000000000007</v>
      </c>
      <c r="N188">
        <v>12.8</v>
      </c>
      <c r="O188">
        <v>0</v>
      </c>
      <c r="P188">
        <v>0</v>
      </c>
      <c r="Q188">
        <v>0</v>
      </c>
      <c r="R188">
        <v>2</v>
      </c>
      <c r="S188">
        <v>2</v>
      </c>
      <c r="T188">
        <v>0.4</v>
      </c>
      <c r="U188">
        <v>6.2</v>
      </c>
      <c r="V188">
        <v>14.2</v>
      </c>
      <c r="W188">
        <f t="shared" si="5"/>
        <v>-80.8</v>
      </c>
    </row>
    <row r="189" spans="1:23" x14ac:dyDescent="0.25">
      <c r="A189">
        <f t="shared" si="4"/>
        <v>188</v>
      </c>
      <c r="B189">
        <v>18071</v>
      </c>
      <c r="C189" t="s">
        <v>345</v>
      </c>
      <c r="D189" t="s">
        <v>145</v>
      </c>
      <c r="E189" t="s">
        <v>283</v>
      </c>
      <c r="F189">
        <v>16</v>
      </c>
      <c r="G189">
        <v>9.1999999999999993</v>
      </c>
      <c r="H189">
        <v>6</v>
      </c>
      <c r="I189">
        <v>66.7</v>
      </c>
      <c r="J189">
        <v>78</v>
      </c>
      <c r="K189">
        <v>0</v>
      </c>
      <c r="L189">
        <v>0</v>
      </c>
      <c r="M189">
        <v>8.6999999999999993</v>
      </c>
      <c r="N189">
        <v>13</v>
      </c>
      <c r="O189">
        <v>0</v>
      </c>
      <c r="P189">
        <v>0</v>
      </c>
      <c r="Q189">
        <v>0</v>
      </c>
      <c r="R189">
        <v>0</v>
      </c>
      <c r="S189">
        <v>0</v>
      </c>
      <c r="T189">
        <v>0.5</v>
      </c>
      <c r="U189">
        <v>7.8</v>
      </c>
      <c r="V189">
        <v>13.8</v>
      </c>
      <c r="W189">
        <f t="shared" si="5"/>
        <v>-81.2</v>
      </c>
    </row>
    <row r="190" spans="1:23" x14ac:dyDescent="0.25">
      <c r="A190">
        <f t="shared" si="4"/>
        <v>189.5</v>
      </c>
      <c r="B190">
        <v>13171</v>
      </c>
      <c r="C190" t="s">
        <v>213</v>
      </c>
      <c r="D190" t="s">
        <v>145</v>
      </c>
      <c r="E190" t="s">
        <v>162</v>
      </c>
      <c r="F190">
        <v>16</v>
      </c>
      <c r="G190">
        <v>9.5</v>
      </c>
      <c r="H190">
        <v>6</v>
      </c>
      <c r="I190">
        <v>60</v>
      </c>
      <c r="J190">
        <v>77</v>
      </c>
      <c r="K190">
        <v>0</v>
      </c>
      <c r="L190">
        <v>0</v>
      </c>
      <c r="M190">
        <v>7.7</v>
      </c>
      <c r="N190">
        <v>12.8</v>
      </c>
      <c r="O190">
        <v>0</v>
      </c>
      <c r="P190">
        <v>0</v>
      </c>
      <c r="Q190">
        <v>0</v>
      </c>
      <c r="R190">
        <v>0</v>
      </c>
      <c r="S190">
        <v>0</v>
      </c>
      <c r="T190">
        <v>0.5</v>
      </c>
      <c r="U190">
        <v>7.7</v>
      </c>
      <c r="V190">
        <v>13.7</v>
      </c>
      <c r="W190">
        <f t="shared" si="5"/>
        <v>-81.3</v>
      </c>
    </row>
    <row r="191" spans="1:23" x14ac:dyDescent="0.25">
      <c r="A191">
        <f t="shared" si="4"/>
        <v>189.5</v>
      </c>
      <c r="B191">
        <v>18157</v>
      </c>
      <c r="C191" t="s">
        <v>708</v>
      </c>
      <c r="D191" t="s">
        <v>145</v>
      </c>
      <c r="E191" t="s">
        <v>639</v>
      </c>
      <c r="F191">
        <v>16</v>
      </c>
      <c r="G191">
        <v>9</v>
      </c>
      <c r="H191">
        <v>6</v>
      </c>
      <c r="I191">
        <v>66.7</v>
      </c>
      <c r="J191">
        <v>77</v>
      </c>
      <c r="K191">
        <v>0</v>
      </c>
      <c r="L191">
        <v>0</v>
      </c>
      <c r="M191">
        <v>8.6</v>
      </c>
      <c r="N191">
        <v>12.8</v>
      </c>
      <c r="O191">
        <v>0</v>
      </c>
      <c r="P191">
        <v>0</v>
      </c>
      <c r="Q191">
        <v>0</v>
      </c>
      <c r="R191">
        <v>0</v>
      </c>
      <c r="S191">
        <v>0</v>
      </c>
      <c r="T191">
        <v>0.5</v>
      </c>
      <c r="U191">
        <v>7.7</v>
      </c>
      <c r="V191">
        <v>13.7</v>
      </c>
      <c r="W191">
        <f t="shared" si="5"/>
        <v>-81.3</v>
      </c>
    </row>
    <row r="192" spans="1:23" x14ac:dyDescent="0.25">
      <c r="A192">
        <f t="shared" si="4"/>
        <v>191</v>
      </c>
      <c r="B192">
        <v>15534</v>
      </c>
      <c r="C192" t="s">
        <v>557</v>
      </c>
      <c r="D192" t="s">
        <v>145</v>
      </c>
      <c r="E192" t="s">
        <v>426</v>
      </c>
      <c r="F192">
        <v>16</v>
      </c>
      <c r="G192">
        <v>8</v>
      </c>
      <c r="H192">
        <v>6</v>
      </c>
      <c r="I192">
        <v>75</v>
      </c>
      <c r="J192">
        <v>65</v>
      </c>
      <c r="K192">
        <v>0</v>
      </c>
      <c r="L192">
        <v>0</v>
      </c>
      <c r="M192">
        <v>8.1</v>
      </c>
      <c r="N192">
        <v>10.8</v>
      </c>
      <c r="O192">
        <v>1</v>
      </c>
      <c r="P192">
        <v>8</v>
      </c>
      <c r="Q192">
        <v>0</v>
      </c>
      <c r="R192">
        <v>0</v>
      </c>
      <c r="S192">
        <v>0</v>
      </c>
      <c r="T192">
        <v>0.5</v>
      </c>
      <c r="U192">
        <v>7.3</v>
      </c>
      <c r="V192">
        <v>13.3</v>
      </c>
      <c r="W192">
        <f t="shared" si="5"/>
        <v>-81.7</v>
      </c>
    </row>
    <row r="193" spans="1:23" x14ac:dyDescent="0.25">
      <c r="A193">
        <f t="shared" si="4"/>
        <v>192</v>
      </c>
      <c r="B193">
        <v>18047</v>
      </c>
      <c r="C193" t="s">
        <v>533</v>
      </c>
      <c r="D193" t="s">
        <v>145</v>
      </c>
      <c r="E193" t="s">
        <v>411</v>
      </c>
      <c r="F193">
        <v>16</v>
      </c>
      <c r="G193">
        <v>12.3</v>
      </c>
      <c r="H193">
        <v>7</v>
      </c>
      <c r="I193">
        <v>58.3</v>
      </c>
      <c r="J193">
        <v>81</v>
      </c>
      <c r="K193">
        <v>0</v>
      </c>
      <c r="L193">
        <v>0</v>
      </c>
      <c r="M193">
        <v>6.8</v>
      </c>
      <c r="N193">
        <v>11.6</v>
      </c>
      <c r="O193">
        <v>0</v>
      </c>
      <c r="P193">
        <v>0</v>
      </c>
      <c r="Q193">
        <v>0</v>
      </c>
      <c r="R193">
        <v>1</v>
      </c>
      <c r="S193">
        <v>1</v>
      </c>
      <c r="T193">
        <v>0.4</v>
      </c>
      <c r="U193">
        <v>6.1</v>
      </c>
      <c r="V193">
        <v>13.1</v>
      </c>
      <c r="W193">
        <f t="shared" si="5"/>
        <v>-81.900000000000006</v>
      </c>
    </row>
    <row r="194" spans="1:23" x14ac:dyDescent="0.25">
      <c r="A194">
        <f t="shared" ref="A194:A246" si="6">_xlfn.RANK.AVG(V194,$V$2:$V$246,0)</f>
        <v>193</v>
      </c>
      <c r="B194">
        <v>16944</v>
      </c>
      <c r="C194" t="s">
        <v>225</v>
      </c>
      <c r="D194" t="s">
        <v>145</v>
      </c>
      <c r="E194" t="s">
        <v>167</v>
      </c>
      <c r="F194">
        <v>16</v>
      </c>
      <c r="G194">
        <v>9.9</v>
      </c>
      <c r="H194">
        <v>6</v>
      </c>
      <c r="I194">
        <v>60</v>
      </c>
      <c r="J194">
        <v>69</v>
      </c>
      <c r="K194">
        <v>0</v>
      </c>
      <c r="L194">
        <v>0</v>
      </c>
      <c r="M194">
        <v>6.9</v>
      </c>
      <c r="N194">
        <v>11.5</v>
      </c>
      <c r="O194">
        <v>0</v>
      </c>
      <c r="P194">
        <v>0</v>
      </c>
      <c r="Q194">
        <v>0</v>
      </c>
      <c r="R194">
        <v>0</v>
      </c>
      <c r="S194">
        <v>0</v>
      </c>
      <c r="T194">
        <v>0.4</v>
      </c>
      <c r="U194">
        <v>6.9</v>
      </c>
      <c r="V194">
        <v>12.9</v>
      </c>
      <c r="W194">
        <f t="shared" si="5"/>
        <v>-82.1</v>
      </c>
    </row>
    <row r="195" spans="1:23" x14ac:dyDescent="0.25">
      <c r="A195">
        <f t="shared" si="6"/>
        <v>194</v>
      </c>
      <c r="B195">
        <v>17269</v>
      </c>
      <c r="C195" t="s">
        <v>841</v>
      </c>
      <c r="D195" t="s">
        <v>145</v>
      </c>
      <c r="E195" t="s">
        <v>774</v>
      </c>
      <c r="F195">
        <v>16</v>
      </c>
      <c r="G195">
        <v>9.1999999999999993</v>
      </c>
      <c r="H195">
        <v>6</v>
      </c>
      <c r="I195">
        <v>66.7</v>
      </c>
      <c r="J195">
        <v>66</v>
      </c>
      <c r="K195">
        <v>0</v>
      </c>
      <c r="L195">
        <v>0</v>
      </c>
      <c r="M195">
        <v>7.3</v>
      </c>
      <c r="N195">
        <v>11</v>
      </c>
      <c r="O195">
        <v>0</v>
      </c>
      <c r="P195">
        <v>0</v>
      </c>
      <c r="Q195">
        <v>0</v>
      </c>
      <c r="R195">
        <v>0</v>
      </c>
      <c r="S195">
        <v>0</v>
      </c>
      <c r="T195">
        <v>0.4</v>
      </c>
      <c r="U195">
        <v>6.6</v>
      </c>
      <c r="V195">
        <v>12.6</v>
      </c>
      <c r="W195">
        <f t="shared" ref="W195:W246" si="7">V195-$Y$1</f>
        <v>-82.4</v>
      </c>
    </row>
    <row r="196" spans="1:23" x14ac:dyDescent="0.25">
      <c r="A196">
        <f t="shared" si="6"/>
        <v>195</v>
      </c>
      <c r="B196">
        <v>13817</v>
      </c>
      <c r="C196" t="s">
        <v>244</v>
      </c>
      <c r="D196" t="s">
        <v>145</v>
      </c>
      <c r="E196" t="s">
        <v>176</v>
      </c>
      <c r="F196">
        <v>16</v>
      </c>
      <c r="G196">
        <v>6.7</v>
      </c>
      <c r="H196">
        <v>5</v>
      </c>
      <c r="I196">
        <v>71.400000000000006</v>
      </c>
      <c r="J196">
        <v>73</v>
      </c>
      <c r="K196">
        <v>0</v>
      </c>
      <c r="L196">
        <v>0</v>
      </c>
      <c r="M196">
        <v>10.4</v>
      </c>
      <c r="N196">
        <v>14.6</v>
      </c>
      <c r="O196">
        <v>0</v>
      </c>
      <c r="P196">
        <v>0</v>
      </c>
      <c r="Q196">
        <v>0</v>
      </c>
      <c r="R196">
        <v>0</v>
      </c>
      <c r="S196">
        <v>0</v>
      </c>
      <c r="T196">
        <v>0.5</v>
      </c>
      <c r="U196">
        <v>7.3</v>
      </c>
      <c r="V196">
        <v>12.3</v>
      </c>
      <c r="W196">
        <f t="shared" si="7"/>
        <v>-82.7</v>
      </c>
    </row>
    <row r="197" spans="1:23" x14ac:dyDescent="0.25">
      <c r="A197">
        <f t="shared" si="6"/>
        <v>196</v>
      </c>
      <c r="B197">
        <v>14886</v>
      </c>
      <c r="C197" t="s">
        <v>565</v>
      </c>
      <c r="D197" t="s">
        <v>145</v>
      </c>
      <c r="E197" t="s">
        <v>430</v>
      </c>
      <c r="F197">
        <v>16</v>
      </c>
      <c r="G197">
        <v>7.9</v>
      </c>
      <c r="H197">
        <v>5</v>
      </c>
      <c r="I197">
        <v>62.5</v>
      </c>
      <c r="J197">
        <v>67</v>
      </c>
      <c r="K197">
        <v>0</v>
      </c>
      <c r="L197">
        <v>0</v>
      </c>
      <c r="M197">
        <v>8.4</v>
      </c>
      <c r="N197">
        <v>13.4</v>
      </c>
      <c r="O197">
        <v>0</v>
      </c>
      <c r="P197">
        <v>0</v>
      </c>
      <c r="Q197">
        <v>0</v>
      </c>
      <c r="R197">
        <v>0</v>
      </c>
      <c r="S197">
        <v>0</v>
      </c>
      <c r="T197">
        <v>0.4</v>
      </c>
      <c r="U197">
        <v>6.7</v>
      </c>
      <c r="V197">
        <v>11.7</v>
      </c>
      <c r="W197">
        <f t="shared" si="7"/>
        <v>-83.3</v>
      </c>
    </row>
    <row r="198" spans="1:23" x14ac:dyDescent="0.25">
      <c r="A198">
        <f t="shared" si="6"/>
        <v>197</v>
      </c>
      <c r="B198">
        <v>16734</v>
      </c>
      <c r="C198" t="s">
        <v>835</v>
      </c>
      <c r="D198" t="s">
        <v>145</v>
      </c>
      <c r="E198" t="s">
        <v>772</v>
      </c>
      <c r="F198">
        <v>16</v>
      </c>
      <c r="G198">
        <v>9</v>
      </c>
      <c r="H198">
        <v>5</v>
      </c>
      <c r="I198">
        <v>55.6</v>
      </c>
      <c r="J198">
        <v>64</v>
      </c>
      <c r="K198">
        <v>0</v>
      </c>
      <c r="L198">
        <v>0</v>
      </c>
      <c r="M198">
        <v>7.1</v>
      </c>
      <c r="N198">
        <v>12.8</v>
      </c>
      <c r="O198">
        <v>0</v>
      </c>
      <c r="P198">
        <v>0</v>
      </c>
      <c r="Q198">
        <v>0</v>
      </c>
      <c r="R198">
        <v>0</v>
      </c>
      <c r="S198">
        <v>0</v>
      </c>
      <c r="T198">
        <v>0.4</v>
      </c>
      <c r="U198">
        <v>6.4</v>
      </c>
      <c r="V198">
        <v>11.4</v>
      </c>
      <c r="W198">
        <f t="shared" si="7"/>
        <v>-83.6</v>
      </c>
    </row>
    <row r="199" spans="1:23" x14ac:dyDescent="0.25">
      <c r="A199">
        <f t="shared" si="6"/>
        <v>198</v>
      </c>
      <c r="B199">
        <v>13981</v>
      </c>
      <c r="C199" t="s">
        <v>360</v>
      </c>
      <c r="D199" t="s">
        <v>145</v>
      </c>
      <c r="E199" t="s">
        <v>292</v>
      </c>
      <c r="F199">
        <v>16</v>
      </c>
      <c r="G199">
        <v>8.4</v>
      </c>
      <c r="H199">
        <v>5</v>
      </c>
      <c r="I199">
        <v>62.5</v>
      </c>
      <c r="J199">
        <v>55</v>
      </c>
      <c r="K199">
        <v>0</v>
      </c>
      <c r="L199">
        <v>0</v>
      </c>
      <c r="M199">
        <v>6.9</v>
      </c>
      <c r="N199">
        <v>11</v>
      </c>
      <c r="O199">
        <v>0</v>
      </c>
      <c r="P199">
        <v>0</v>
      </c>
      <c r="Q199">
        <v>0</v>
      </c>
      <c r="R199">
        <v>0</v>
      </c>
      <c r="S199">
        <v>0</v>
      </c>
      <c r="T199">
        <v>0.3</v>
      </c>
      <c r="U199">
        <v>5.5</v>
      </c>
      <c r="V199">
        <v>10.5</v>
      </c>
      <c r="W199">
        <f t="shared" si="7"/>
        <v>-84.5</v>
      </c>
    </row>
    <row r="200" spans="1:23" x14ac:dyDescent="0.25">
      <c r="A200">
        <f t="shared" si="6"/>
        <v>199</v>
      </c>
      <c r="B200">
        <v>16689</v>
      </c>
      <c r="C200" t="s">
        <v>245</v>
      </c>
      <c r="D200" t="s">
        <v>145</v>
      </c>
      <c r="E200" t="s">
        <v>176</v>
      </c>
      <c r="F200">
        <v>16</v>
      </c>
      <c r="G200">
        <v>7.7</v>
      </c>
      <c r="H200">
        <v>5</v>
      </c>
      <c r="I200">
        <v>62.5</v>
      </c>
      <c r="J200">
        <v>53</v>
      </c>
      <c r="K200">
        <v>0</v>
      </c>
      <c r="L200">
        <v>0</v>
      </c>
      <c r="M200">
        <v>6.6</v>
      </c>
      <c r="N200">
        <v>10.6</v>
      </c>
      <c r="O200">
        <v>0</v>
      </c>
      <c r="P200">
        <v>0</v>
      </c>
      <c r="Q200">
        <v>0</v>
      </c>
      <c r="R200">
        <v>0</v>
      </c>
      <c r="S200">
        <v>0</v>
      </c>
      <c r="T200">
        <v>0.3</v>
      </c>
      <c r="U200">
        <v>5.3</v>
      </c>
      <c r="V200">
        <v>10.3</v>
      </c>
      <c r="W200">
        <f t="shared" si="7"/>
        <v>-84.7</v>
      </c>
    </row>
    <row r="201" spans="1:23" x14ac:dyDescent="0.25">
      <c r="A201">
        <f t="shared" si="6"/>
        <v>200</v>
      </c>
      <c r="B201">
        <v>13486</v>
      </c>
      <c r="C201" t="s">
        <v>234</v>
      </c>
      <c r="D201" t="s">
        <v>145</v>
      </c>
      <c r="E201" t="s">
        <v>172</v>
      </c>
      <c r="F201">
        <v>16</v>
      </c>
      <c r="G201">
        <v>5.5</v>
      </c>
      <c r="H201">
        <v>4</v>
      </c>
      <c r="I201">
        <v>80</v>
      </c>
      <c r="J201">
        <v>57</v>
      </c>
      <c r="K201">
        <v>0</v>
      </c>
      <c r="L201">
        <v>0</v>
      </c>
      <c r="M201">
        <v>11.4</v>
      </c>
      <c r="N201">
        <v>14.2</v>
      </c>
      <c r="O201">
        <v>0</v>
      </c>
      <c r="P201">
        <v>0</v>
      </c>
      <c r="Q201">
        <v>0</v>
      </c>
      <c r="R201">
        <v>0</v>
      </c>
      <c r="S201">
        <v>0</v>
      </c>
      <c r="T201">
        <v>0.4</v>
      </c>
      <c r="U201">
        <v>5.7</v>
      </c>
      <c r="V201">
        <v>9.6999999999999993</v>
      </c>
      <c r="W201">
        <f t="shared" si="7"/>
        <v>-85.3</v>
      </c>
    </row>
    <row r="202" spans="1:23" x14ac:dyDescent="0.25">
      <c r="A202">
        <f t="shared" si="6"/>
        <v>201</v>
      </c>
      <c r="B202">
        <v>15296</v>
      </c>
      <c r="C202" t="s">
        <v>534</v>
      </c>
      <c r="D202" t="s">
        <v>145</v>
      </c>
      <c r="E202" t="s">
        <v>411</v>
      </c>
      <c r="F202">
        <v>16</v>
      </c>
      <c r="G202">
        <v>6.7</v>
      </c>
      <c r="H202">
        <v>4</v>
      </c>
      <c r="I202">
        <v>57.1</v>
      </c>
      <c r="J202">
        <v>49</v>
      </c>
      <c r="K202">
        <v>0</v>
      </c>
      <c r="L202">
        <v>0</v>
      </c>
      <c r="M202">
        <v>7</v>
      </c>
      <c r="N202">
        <v>12.2</v>
      </c>
      <c r="O202">
        <v>0</v>
      </c>
      <c r="P202">
        <v>0</v>
      </c>
      <c r="Q202">
        <v>0</v>
      </c>
      <c r="R202">
        <v>0</v>
      </c>
      <c r="S202">
        <v>0</v>
      </c>
      <c r="T202">
        <v>0.3</v>
      </c>
      <c r="U202">
        <v>4.9000000000000004</v>
      </c>
      <c r="V202">
        <v>8.9</v>
      </c>
      <c r="W202">
        <f t="shared" si="7"/>
        <v>-86.1</v>
      </c>
    </row>
    <row r="203" spans="1:23" x14ac:dyDescent="0.25">
      <c r="A203">
        <f t="shared" si="6"/>
        <v>202</v>
      </c>
      <c r="B203">
        <v>11565</v>
      </c>
      <c r="C203" t="s">
        <v>498</v>
      </c>
      <c r="D203" t="s">
        <v>145</v>
      </c>
      <c r="E203" t="s">
        <v>393</v>
      </c>
      <c r="F203">
        <v>16</v>
      </c>
      <c r="G203">
        <v>6.3</v>
      </c>
      <c r="H203">
        <v>4</v>
      </c>
      <c r="I203">
        <v>66.7</v>
      </c>
      <c r="J203">
        <v>46</v>
      </c>
      <c r="K203">
        <v>0</v>
      </c>
      <c r="L203">
        <v>0</v>
      </c>
      <c r="M203">
        <v>7.7</v>
      </c>
      <c r="N203">
        <v>11.5</v>
      </c>
      <c r="O203">
        <v>0</v>
      </c>
      <c r="P203">
        <v>0</v>
      </c>
      <c r="Q203">
        <v>0</v>
      </c>
      <c r="R203">
        <v>0</v>
      </c>
      <c r="S203">
        <v>0</v>
      </c>
      <c r="T203">
        <v>0.3</v>
      </c>
      <c r="U203">
        <v>4.5999999999999996</v>
      </c>
      <c r="V203">
        <v>8.6</v>
      </c>
      <c r="W203">
        <f t="shared" si="7"/>
        <v>-86.4</v>
      </c>
    </row>
    <row r="204" spans="1:23" x14ac:dyDescent="0.25">
      <c r="A204">
        <f t="shared" si="6"/>
        <v>203</v>
      </c>
      <c r="B204">
        <v>16012</v>
      </c>
      <c r="C204" t="s">
        <v>551</v>
      </c>
      <c r="D204" t="s">
        <v>145</v>
      </c>
      <c r="E204" t="s">
        <v>421</v>
      </c>
      <c r="F204">
        <v>16</v>
      </c>
      <c r="G204">
        <v>6.8</v>
      </c>
      <c r="H204">
        <v>4</v>
      </c>
      <c r="I204">
        <v>57.1</v>
      </c>
      <c r="J204">
        <v>42</v>
      </c>
      <c r="K204">
        <v>0</v>
      </c>
      <c r="L204">
        <v>0</v>
      </c>
      <c r="M204">
        <v>6</v>
      </c>
      <c r="N204">
        <v>10.5</v>
      </c>
      <c r="O204">
        <v>0</v>
      </c>
      <c r="P204">
        <v>0</v>
      </c>
      <c r="Q204">
        <v>0</v>
      </c>
      <c r="R204">
        <v>0</v>
      </c>
      <c r="S204">
        <v>0</v>
      </c>
      <c r="T204">
        <v>0.3</v>
      </c>
      <c r="U204">
        <v>4.2</v>
      </c>
      <c r="V204">
        <v>8.1999999999999993</v>
      </c>
      <c r="W204">
        <f t="shared" si="7"/>
        <v>-86.8</v>
      </c>
    </row>
    <row r="205" spans="1:23" x14ac:dyDescent="0.25">
      <c r="A205">
        <f t="shared" si="6"/>
        <v>204</v>
      </c>
      <c r="B205">
        <v>16651</v>
      </c>
      <c r="C205" t="s">
        <v>235</v>
      </c>
      <c r="D205" t="s">
        <v>145</v>
      </c>
      <c r="E205" t="s">
        <v>172</v>
      </c>
      <c r="F205">
        <v>16</v>
      </c>
      <c r="G205">
        <v>0</v>
      </c>
      <c r="H205">
        <v>0</v>
      </c>
      <c r="I205">
        <v>0</v>
      </c>
      <c r="J205">
        <v>76</v>
      </c>
      <c r="K205">
        <v>0</v>
      </c>
      <c r="L205">
        <v>0</v>
      </c>
      <c r="M205">
        <v>0</v>
      </c>
      <c r="N205">
        <v>0</v>
      </c>
      <c r="O205">
        <v>0</v>
      </c>
      <c r="P205">
        <v>0</v>
      </c>
      <c r="Q205">
        <v>0</v>
      </c>
      <c r="R205">
        <v>0</v>
      </c>
      <c r="S205">
        <v>0</v>
      </c>
      <c r="T205">
        <v>0.5</v>
      </c>
      <c r="U205">
        <v>7.6</v>
      </c>
      <c r="V205">
        <v>7.6</v>
      </c>
      <c r="W205">
        <f t="shared" si="7"/>
        <v>-87.4</v>
      </c>
    </row>
    <row r="206" spans="1:23" x14ac:dyDescent="0.25">
      <c r="A206">
        <f t="shared" si="6"/>
        <v>205</v>
      </c>
      <c r="B206">
        <v>17004</v>
      </c>
      <c r="C206" t="s">
        <v>858</v>
      </c>
      <c r="D206" t="s">
        <v>145</v>
      </c>
      <c r="E206" t="s">
        <v>783</v>
      </c>
      <c r="F206">
        <v>16</v>
      </c>
      <c r="G206">
        <v>1.3</v>
      </c>
      <c r="H206">
        <v>1</v>
      </c>
      <c r="I206">
        <v>100</v>
      </c>
      <c r="J206">
        <v>3</v>
      </c>
      <c r="K206">
        <v>1</v>
      </c>
      <c r="L206">
        <v>0</v>
      </c>
      <c r="M206">
        <v>3</v>
      </c>
      <c r="N206">
        <v>3</v>
      </c>
      <c r="O206">
        <v>0.3</v>
      </c>
      <c r="P206">
        <v>1</v>
      </c>
      <c r="Q206">
        <v>0</v>
      </c>
      <c r="R206">
        <v>0</v>
      </c>
      <c r="S206">
        <v>0</v>
      </c>
      <c r="T206">
        <v>0.4</v>
      </c>
      <c r="U206">
        <v>6.4</v>
      </c>
      <c r="V206">
        <v>7.3999999999999995</v>
      </c>
      <c r="W206">
        <f t="shared" si="7"/>
        <v>-87.6</v>
      </c>
    </row>
    <row r="207" spans="1:23" x14ac:dyDescent="0.25">
      <c r="A207">
        <f t="shared" si="6"/>
        <v>206</v>
      </c>
      <c r="B207">
        <v>14847</v>
      </c>
      <c r="C207" t="s">
        <v>150</v>
      </c>
      <c r="D207" t="s">
        <v>145</v>
      </c>
      <c r="E207" t="s">
        <v>135</v>
      </c>
      <c r="F207">
        <v>16</v>
      </c>
      <c r="G207">
        <v>4.0999999999999996</v>
      </c>
      <c r="H207">
        <v>3</v>
      </c>
      <c r="I207">
        <v>75</v>
      </c>
      <c r="J207">
        <v>38</v>
      </c>
      <c r="K207">
        <v>0</v>
      </c>
      <c r="L207">
        <v>0</v>
      </c>
      <c r="M207">
        <v>9.5</v>
      </c>
      <c r="N207">
        <v>12.7</v>
      </c>
      <c r="O207">
        <v>0</v>
      </c>
      <c r="P207">
        <v>0</v>
      </c>
      <c r="Q207">
        <v>0</v>
      </c>
      <c r="R207">
        <v>0</v>
      </c>
      <c r="S207">
        <v>0</v>
      </c>
      <c r="T207">
        <v>0.2</v>
      </c>
      <c r="U207">
        <v>3.8</v>
      </c>
      <c r="V207">
        <v>6.8</v>
      </c>
      <c r="W207">
        <f t="shared" si="7"/>
        <v>-88.2</v>
      </c>
    </row>
    <row r="208" spans="1:23" x14ac:dyDescent="0.25">
      <c r="A208">
        <f t="shared" si="6"/>
        <v>207</v>
      </c>
      <c r="B208">
        <v>14275</v>
      </c>
      <c r="C208" t="s">
        <v>236</v>
      </c>
      <c r="D208" t="s">
        <v>145</v>
      </c>
      <c r="E208" t="s">
        <v>172</v>
      </c>
      <c r="F208">
        <v>16</v>
      </c>
      <c r="G208">
        <v>4.4000000000000004</v>
      </c>
      <c r="H208">
        <v>3</v>
      </c>
      <c r="I208">
        <v>75</v>
      </c>
      <c r="J208">
        <v>35</v>
      </c>
      <c r="K208">
        <v>0</v>
      </c>
      <c r="L208">
        <v>0</v>
      </c>
      <c r="M208">
        <v>8.8000000000000007</v>
      </c>
      <c r="N208">
        <v>11.7</v>
      </c>
      <c r="O208">
        <v>0</v>
      </c>
      <c r="P208">
        <v>0</v>
      </c>
      <c r="Q208">
        <v>0</v>
      </c>
      <c r="R208">
        <v>0</v>
      </c>
      <c r="S208">
        <v>0</v>
      </c>
      <c r="T208">
        <v>0.2</v>
      </c>
      <c r="U208">
        <v>3.5</v>
      </c>
      <c r="V208">
        <v>6.5</v>
      </c>
      <c r="W208">
        <f t="shared" si="7"/>
        <v>-88.5</v>
      </c>
    </row>
    <row r="209" spans="1:23" x14ac:dyDescent="0.25">
      <c r="A209">
        <f t="shared" si="6"/>
        <v>208</v>
      </c>
      <c r="B209">
        <v>16122</v>
      </c>
      <c r="C209" t="s">
        <v>337</v>
      </c>
      <c r="D209" t="s">
        <v>145</v>
      </c>
      <c r="E209" t="s">
        <v>279</v>
      </c>
      <c r="F209">
        <v>16</v>
      </c>
      <c r="G209">
        <v>2.9</v>
      </c>
      <c r="H209">
        <v>2</v>
      </c>
      <c r="I209">
        <v>66.7</v>
      </c>
      <c r="J209">
        <v>22</v>
      </c>
      <c r="K209">
        <v>0</v>
      </c>
      <c r="L209">
        <v>0</v>
      </c>
      <c r="M209">
        <v>7.3</v>
      </c>
      <c r="N209">
        <v>11</v>
      </c>
      <c r="O209">
        <v>4</v>
      </c>
      <c r="P209">
        <v>22</v>
      </c>
      <c r="Q209">
        <v>0</v>
      </c>
      <c r="R209">
        <v>0</v>
      </c>
      <c r="S209">
        <v>0</v>
      </c>
      <c r="T209">
        <v>0.3</v>
      </c>
      <c r="U209">
        <v>4.4000000000000004</v>
      </c>
      <c r="V209">
        <v>6.4</v>
      </c>
      <c r="W209">
        <f t="shared" si="7"/>
        <v>-88.6</v>
      </c>
    </row>
    <row r="210" spans="1:23" x14ac:dyDescent="0.25">
      <c r="A210">
        <f t="shared" si="6"/>
        <v>209</v>
      </c>
      <c r="B210">
        <v>15479</v>
      </c>
      <c r="C210" t="s">
        <v>361</v>
      </c>
      <c r="D210" t="s">
        <v>145</v>
      </c>
      <c r="E210" t="s">
        <v>292</v>
      </c>
      <c r="F210">
        <v>16</v>
      </c>
      <c r="G210">
        <v>4.4000000000000004</v>
      </c>
      <c r="H210">
        <v>3</v>
      </c>
      <c r="I210">
        <v>75</v>
      </c>
      <c r="J210">
        <v>26</v>
      </c>
      <c r="K210">
        <v>0</v>
      </c>
      <c r="L210">
        <v>0</v>
      </c>
      <c r="M210">
        <v>6.5</v>
      </c>
      <c r="N210">
        <v>8.6999999999999993</v>
      </c>
      <c r="O210">
        <v>0</v>
      </c>
      <c r="P210">
        <v>0</v>
      </c>
      <c r="Q210">
        <v>0</v>
      </c>
      <c r="R210">
        <v>0</v>
      </c>
      <c r="S210">
        <v>0</v>
      </c>
      <c r="T210">
        <v>0.2</v>
      </c>
      <c r="U210">
        <v>2.6</v>
      </c>
      <c r="V210">
        <v>5.6</v>
      </c>
      <c r="W210">
        <f t="shared" si="7"/>
        <v>-89.4</v>
      </c>
    </row>
    <row r="211" spans="1:23" x14ac:dyDescent="0.25">
      <c r="A211">
        <f t="shared" si="6"/>
        <v>210</v>
      </c>
      <c r="B211">
        <v>10961</v>
      </c>
      <c r="C211" t="s">
        <v>346</v>
      </c>
      <c r="D211" t="s">
        <v>145</v>
      </c>
      <c r="E211" t="s">
        <v>283</v>
      </c>
      <c r="F211">
        <v>16</v>
      </c>
      <c r="G211">
        <v>2.6</v>
      </c>
      <c r="H211">
        <v>2</v>
      </c>
      <c r="I211">
        <v>66.7</v>
      </c>
      <c r="J211">
        <v>29</v>
      </c>
      <c r="K211">
        <v>0</v>
      </c>
      <c r="L211">
        <v>0</v>
      </c>
      <c r="M211">
        <v>9.6999999999999993</v>
      </c>
      <c r="N211">
        <v>14.5</v>
      </c>
      <c r="O211">
        <v>0</v>
      </c>
      <c r="P211">
        <v>0</v>
      </c>
      <c r="Q211">
        <v>0</v>
      </c>
      <c r="R211">
        <v>0</v>
      </c>
      <c r="S211">
        <v>0</v>
      </c>
      <c r="T211">
        <v>0.2</v>
      </c>
      <c r="U211">
        <v>2.9</v>
      </c>
      <c r="V211">
        <v>4.9000000000000004</v>
      </c>
      <c r="W211">
        <f t="shared" si="7"/>
        <v>-90.1</v>
      </c>
    </row>
    <row r="212" spans="1:23" x14ac:dyDescent="0.25">
      <c r="A212">
        <f t="shared" si="6"/>
        <v>211</v>
      </c>
      <c r="B212">
        <v>3601</v>
      </c>
      <c r="C212" t="s">
        <v>214</v>
      </c>
      <c r="D212" t="s">
        <v>145</v>
      </c>
      <c r="E212" t="s">
        <v>162</v>
      </c>
      <c r="F212">
        <v>16</v>
      </c>
      <c r="G212">
        <v>3.6</v>
      </c>
      <c r="H212">
        <v>2</v>
      </c>
      <c r="I212">
        <v>50</v>
      </c>
      <c r="J212">
        <v>25</v>
      </c>
      <c r="K212">
        <v>0</v>
      </c>
      <c r="L212">
        <v>0</v>
      </c>
      <c r="M212">
        <v>6.2</v>
      </c>
      <c r="N212">
        <v>12.5</v>
      </c>
      <c r="O212">
        <v>0.3</v>
      </c>
      <c r="P212">
        <v>1</v>
      </c>
      <c r="Q212">
        <v>0</v>
      </c>
      <c r="R212">
        <v>0</v>
      </c>
      <c r="S212">
        <v>0</v>
      </c>
      <c r="T212">
        <v>0.2</v>
      </c>
      <c r="U212">
        <v>2.6</v>
      </c>
      <c r="V212">
        <v>4.5999999999999996</v>
      </c>
      <c r="W212">
        <f t="shared" si="7"/>
        <v>-90.4</v>
      </c>
    </row>
    <row r="213" spans="1:23" x14ac:dyDescent="0.25">
      <c r="A213">
        <f t="shared" si="6"/>
        <v>212</v>
      </c>
      <c r="B213">
        <v>15566</v>
      </c>
      <c r="C213" t="s">
        <v>519</v>
      </c>
      <c r="D213" t="s">
        <v>145</v>
      </c>
      <c r="E213" t="s">
        <v>404</v>
      </c>
      <c r="F213">
        <v>16</v>
      </c>
      <c r="G213">
        <v>3.4</v>
      </c>
      <c r="H213">
        <v>2</v>
      </c>
      <c r="I213">
        <v>66.7</v>
      </c>
      <c r="J213">
        <v>23</v>
      </c>
      <c r="K213">
        <v>0</v>
      </c>
      <c r="L213">
        <v>0</v>
      </c>
      <c r="M213">
        <v>7.7</v>
      </c>
      <c r="N213">
        <v>11.5</v>
      </c>
      <c r="O213">
        <v>0</v>
      </c>
      <c r="P213">
        <v>0</v>
      </c>
      <c r="Q213">
        <v>0</v>
      </c>
      <c r="R213">
        <v>0</v>
      </c>
      <c r="S213">
        <v>0</v>
      </c>
      <c r="T213">
        <v>0.1</v>
      </c>
      <c r="U213">
        <v>2.2999999999999998</v>
      </c>
      <c r="V213">
        <v>4.3</v>
      </c>
      <c r="W213">
        <f t="shared" si="7"/>
        <v>-90.7</v>
      </c>
    </row>
    <row r="214" spans="1:23" x14ac:dyDescent="0.25">
      <c r="A214">
        <f t="shared" si="6"/>
        <v>213</v>
      </c>
      <c r="B214">
        <v>3989</v>
      </c>
      <c r="C214" t="s">
        <v>499</v>
      </c>
      <c r="D214" t="s">
        <v>145</v>
      </c>
      <c r="E214" t="s">
        <v>393</v>
      </c>
      <c r="F214">
        <v>16</v>
      </c>
      <c r="G214">
        <v>3.3</v>
      </c>
      <c r="H214">
        <v>2</v>
      </c>
      <c r="I214">
        <v>66.7</v>
      </c>
      <c r="J214">
        <v>18</v>
      </c>
      <c r="K214">
        <v>0</v>
      </c>
      <c r="L214">
        <v>0</v>
      </c>
      <c r="M214">
        <v>6</v>
      </c>
      <c r="N214">
        <v>9</v>
      </c>
      <c r="O214">
        <v>0.3</v>
      </c>
      <c r="P214">
        <v>1</v>
      </c>
      <c r="Q214">
        <v>0</v>
      </c>
      <c r="R214">
        <v>0</v>
      </c>
      <c r="S214">
        <v>0</v>
      </c>
      <c r="T214">
        <v>0.1</v>
      </c>
      <c r="U214">
        <v>1.9</v>
      </c>
      <c r="V214">
        <v>3.9</v>
      </c>
      <c r="W214">
        <f t="shared" si="7"/>
        <v>-91.1</v>
      </c>
    </row>
    <row r="215" spans="1:23" x14ac:dyDescent="0.25">
      <c r="A215">
        <f t="shared" si="6"/>
        <v>214</v>
      </c>
      <c r="B215">
        <v>17974</v>
      </c>
      <c r="C215" t="s">
        <v>834</v>
      </c>
      <c r="D215" t="s">
        <v>145</v>
      </c>
      <c r="E215" t="s">
        <v>772</v>
      </c>
      <c r="F215">
        <v>16</v>
      </c>
      <c r="G215">
        <v>0</v>
      </c>
      <c r="H215">
        <v>0</v>
      </c>
      <c r="I215">
        <v>0</v>
      </c>
      <c r="J215">
        <v>0</v>
      </c>
      <c r="K215">
        <v>0</v>
      </c>
      <c r="L215">
        <v>0</v>
      </c>
      <c r="M215">
        <v>0</v>
      </c>
      <c r="N215">
        <v>0</v>
      </c>
      <c r="O215">
        <v>5</v>
      </c>
      <c r="P215">
        <v>19</v>
      </c>
      <c r="Q215">
        <v>0</v>
      </c>
      <c r="R215">
        <v>0</v>
      </c>
      <c r="S215">
        <v>0</v>
      </c>
      <c r="T215">
        <v>0.7</v>
      </c>
      <c r="U215">
        <v>11.74</v>
      </c>
      <c r="V215">
        <v>1.9</v>
      </c>
      <c r="W215">
        <f t="shared" si="7"/>
        <v>-93.1</v>
      </c>
    </row>
    <row r="216" spans="1:23" x14ac:dyDescent="0.25">
      <c r="A216">
        <f t="shared" si="6"/>
        <v>215</v>
      </c>
      <c r="B216">
        <v>16578</v>
      </c>
      <c r="C216" t="s">
        <v>535</v>
      </c>
      <c r="D216" t="s">
        <v>145</v>
      </c>
      <c r="E216" t="s">
        <v>411</v>
      </c>
      <c r="F216">
        <v>16</v>
      </c>
      <c r="G216">
        <v>0</v>
      </c>
      <c r="H216">
        <v>0</v>
      </c>
      <c r="I216">
        <v>0</v>
      </c>
      <c r="J216">
        <v>0</v>
      </c>
      <c r="K216">
        <v>0</v>
      </c>
      <c r="L216">
        <v>0</v>
      </c>
      <c r="M216">
        <v>0</v>
      </c>
      <c r="N216">
        <v>0</v>
      </c>
      <c r="O216">
        <v>4</v>
      </c>
      <c r="P216">
        <v>14</v>
      </c>
      <c r="Q216">
        <v>0</v>
      </c>
      <c r="R216">
        <v>0</v>
      </c>
      <c r="S216">
        <v>0</v>
      </c>
      <c r="T216">
        <v>0.1</v>
      </c>
      <c r="U216">
        <v>1.4</v>
      </c>
      <c r="V216">
        <v>1.4</v>
      </c>
      <c r="W216">
        <f t="shared" si="7"/>
        <v>-93.6</v>
      </c>
    </row>
    <row r="217" spans="1:23" x14ac:dyDescent="0.25">
      <c r="A217">
        <f t="shared" si="6"/>
        <v>216</v>
      </c>
      <c r="B217">
        <v>15725</v>
      </c>
      <c r="C217" t="s">
        <v>151</v>
      </c>
      <c r="D217" t="s">
        <v>145</v>
      </c>
      <c r="E217" t="s">
        <v>135</v>
      </c>
      <c r="F217">
        <v>16</v>
      </c>
      <c r="G217">
        <v>0</v>
      </c>
      <c r="H217">
        <v>0</v>
      </c>
      <c r="I217">
        <v>0</v>
      </c>
      <c r="J217">
        <v>7</v>
      </c>
      <c r="K217">
        <v>0</v>
      </c>
      <c r="L217">
        <v>0</v>
      </c>
      <c r="M217">
        <v>0</v>
      </c>
      <c r="N217">
        <v>0</v>
      </c>
      <c r="O217">
        <v>0</v>
      </c>
      <c r="P217">
        <v>0</v>
      </c>
      <c r="Q217">
        <v>0</v>
      </c>
      <c r="R217">
        <v>0</v>
      </c>
      <c r="S217">
        <v>0</v>
      </c>
      <c r="T217">
        <v>0</v>
      </c>
      <c r="U217">
        <v>0.7</v>
      </c>
      <c r="V217">
        <v>0.7</v>
      </c>
      <c r="W217">
        <f t="shared" si="7"/>
        <v>-94.3</v>
      </c>
    </row>
    <row r="218" spans="1:23" x14ac:dyDescent="0.25">
      <c r="A218">
        <f t="shared" si="6"/>
        <v>217</v>
      </c>
      <c r="B218">
        <v>16946</v>
      </c>
      <c r="C218" t="s">
        <v>700</v>
      </c>
      <c r="D218" t="s">
        <v>145</v>
      </c>
      <c r="E218" t="s">
        <v>635</v>
      </c>
      <c r="F218">
        <v>16</v>
      </c>
      <c r="G218">
        <v>0</v>
      </c>
      <c r="H218">
        <v>0</v>
      </c>
      <c r="I218">
        <v>0</v>
      </c>
      <c r="J218">
        <v>5</v>
      </c>
      <c r="K218">
        <v>0</v>
      </c>
      <c r="L218">
        <v>0</v>
      </c>
      <c r="M218">
        <v>0</v>
      </c>
      <c r="N218">
        <v>0</v>
      </c>
      <c r="O218">
        <v>0</v>
      </c>
      <c r="P218">
        <v>0</v>
      </c>
      <c r="Q218">
        <v>0</v>
      </c>
      <c r="R218">
        <v>0</v>
      </c>
      <c r="S218">
        <v>0</v>
      </c>
      <c r="T218">
        <v>0</v>
      </c>
      <c r="U218">
        <v>0.5</v>
      </c>
      <c r="V218">
        <v>0.5</v>
      </c>
      <c r="W218">
        <f t="shared" si="7"/>
        <v>-94.5</v>
      </c>
    </row>
    <row r="219" spans="1:23" x14ac:dyDescent="0.25">
      <c r="A219">
        <f t="shared" si="6"/>
        <v>218</v>
      </c>
      <c r="B219">
        <v>16134</v>
      </c>
      <c r="C219" t="s">
        <v>850</v>
      </c>
      <c r="D219" t="s">
        <v>145</v>
      </c>
      <c r="E219" t="s">
        <v>779</v>
      </c>
      <c r="F219">
        <v>16</v>
      </c>
      <c r="G219">
        <v>0</v>
      </c>
      <c r="H219">
        <v>0</v>
      </c>
      <c r="I219">
        <v>0</v>
      </c>
      <c r="J219">
        <v>2</v>
      </c>
      <c r="K219">
        <v>0</v>
      </c>
      <c r="L219">
        <v>0</v>
      </c>
      <c r="M219">
        <v>0</v>
      </c>
      <c r="N219">
        <v>0</v>
      </c>
      <c r="O219">
        <v>0</v>
      </c>
      <c r="P219">
        <v>0</v>
      </c>
      <c r="Q219">
        <v>0</v>
      </c>
      <c r="R219">
        <v>0</v>
      </c>
      <c r="S219">
        <v>0</v>
      </c>
      <c r="T219">
        <v>0</v>
      </c>
      <c r="U219">
        <v>0.2</v>
      </c>
      <c r="V219">
        <v>0.2</v>
      </c>
      <c r="W219">
        <f t="shared" si="7"/>
        <v>-94.8</v>
      </c>
    </row>
    <row r="220" spans="1:23" x14ac:dyDescent="0.25">
      <c r="A220">
        <f t="shared" si="6"/>
        <v>219.5</v>
      </c>
      <c r="B220">
        <v>18057</v>
      </c>
      <c r="C220" t="s">
        <v>347</v>
      </c>
      <c r="D220" t="s">
        <v>145</v>
      </c>
      <c r="E220" t="s">
        <v>283</v>
      </c>
      <c r="F220">
        <v>16</v>
      </c>
      <c r="G220">
        <v>0</v>
      </c>
      <c r="H220">
        <v>0</v>
      </c>
      <c r="I220">
        <v>0</v>
      </c>
      <c r="J220">
        <v>1</v>
      </c>
      <c r="K220">
        <v>0</v>
      </c>
      <c r="L220">
        <v>0</v>
      </c>
      <c r="M220">
        <v>0</v>
      </c>
      <c r="N220">
        <v>0</v>
      </c>
      <c r="O220">
        <v>0</v>
      </c>
      <c r="P220">
        <v>0</v>
      </c>
      <c r="Q220">
        <v>0</v>
      </c>
      <c r="R220">
        <v>0</v>
      </c>
      <c r="S220">
        <v>0</v>
      </c>
      <c r="T220">
        <v>0</v>
      </c>
      <c r="U220">
        <v>0.1</v>
      </c>
      <c r="V220">
        <v>0.1</v>
      </c>
      <c r="W220">
        <f t="shared" si="7"/>
        <v>-94.9</v>
      </c>
    </row>
    <row r="221" spans="1:23" x14ac:dyDescent="0.25">
      <c r="A221">
        <f t="shared" si="6"/>
        <v>219.5</v>
      </c>
      <c r="B221">
        <v>15965</v>
      </c>
      <c r="C221" t="s">
        <v>721</v>
      </c>
      <c r="D221" t="s">
        <v>145</v>
      </c>
      <c r="E221" t="s">
        <v>107</v>
      </c>
      <c r="F221">
        <v>16</v>
      </c>
      <c r="G221">
        <v>0</v>
      </c>
      <c r="H221">
        <v>0</v>
      </c>
      <c r="I221">
        <v>0</v>
      </c>
      <c r="J221">
        <v>1</v>
      </c>
      <c r="K221">
        <v>0</v>
      </c>
      <c r="L221">
        <v>0</v>
      </c>
      <c r="M221">
        <v>0</v>
      </c>
      <c r="N221">
        <v>0</v>
      </c>
      <c r="O221">
        <v>0</v>
      </c>
      <c r="P221">
        <v>0</v>
      </c>
      <c r="Q221">
        <v>0</v>
      </c>
      <c r="R221">
        <v>0</v>
      </c>
      <c r="S221">
        <v>0</v>
      </c>
      <c r="T221">
        <v>0</v>
      </c>
      <c r="U221">
        <v>0.1</v>
      </c>
      <c r="V221">
        <v>0.1</v>
      </c>
      <c r="W221">
        <f t="shared" si="7"/>
        <v>-94.9</v>
      </c>
    </row>
    <row r="222" spans="1:23" x14ac:dyDescent="0.25">
      <c r="A222">
        <f t="shared" si="6"/>
        <v>233</v>
      </c>
      <c r="B222">
        <v>6768</v>
      </c>
      <c r="C222" t="s">
        <v>215</v>
      </c>
      <c r="D222" t="s">
        <v>145</v>
      </c>
      <c r="E222" t="s">
        <v>162</v>
      </c>
      <c r="F222">
        <v>16</v>
      </c>
      <c r="G222">
        <v>0</v>
      </c>
      <c r="H222">
        <v>0</v>
      </c>
      <c r="I222">
        <v>0</v>
      </c>
      <c r="J222">
        <v>0</v>
      </c>
      <c r="K222">
        <v>0</v>
      </c>
      <c r="L222">
        <v>0</v>
      </c>
      <c r="M222">
        <v>0</v>
      </c>
      <c r="N222">
        <v>0</v>
      </c>
      <c r="O222">
        <v>0</v>
      </c>
      <c r="P222">
        <v>0</v>
      </c>
      <c r="Q222">
        <v>0</v>
      </c>
      <c r="R222">
        <v>0</v>
      </c>
      <c r="S222">
        <v>0</v>
      </c>
      <c r="T222">
        <v>0</v>
      </c>
      <c r="U222">
        <v>0</v>
      </c>
      <c r="V222">
        <v>0</v>
      </c>
      <c r="W222">
        <f t="shared" si="7"/>
        <v>-95</v>
      </c>
    </row>
    <row r="223" spans="1:23" x14ac:dyDescent="0.25">
      <c r="A223">
        <f t="shared" si="6"/>
        <v>233</v>
      </c>
      <c r="B223">
        <v>16964</v>
      </c>
      <c r="C223" t="s">
        <v>226</v>
      </c>
      <c r="D223" t="s">
        <v>145</v>
      </c>
      <c r="E223" t="s">
        <v>167</v>
      </c>
      <c r="F223">
        <v>16</v>
      </c>
      <c r="G223">
        <v>0</v>
      </c>
      <c r="H223">
        <v>0</v>
      </c>
      <c r="I223">
        <v>0</v>
      </c>
      <c r="J223">
        <v>0</v>
      </c>
      <c r="K223">
        <v>0</v>
      </c>
      <c r="L223">
        <v>0</v>
      </c>
      <c r="M223">
        <v>0</v>
      </c>
      <c r="N223">
        <v>0</v>
      </c>
      <c r="O223">
        <v>0</v>
      </c>
      <c r="P223">
        <v>0</v>
      </c>
      <c r="Q223">
        <v>0</v>
      </c>
      <c r="R223">
        <v>0</v>
      </c>
      <c r="S223">
        <v>0</v>
      </c>
      <c r="T223">
        <v>0</v>
      </c>
      <c r="U223">
        <v>0</v>
      </c>
      <c r="V223">
        <v>0</v>
      </c>
      <c r="W223">
        <f t="shared" si="7"/>
        <v>-95</v>
      </c>
    </row>
    <row r="224" spans="1:23" x14ac:dyDescent="0.25">
      <c r="A224">
        <f t="shared" si="6"/>
        <v>233</v>
      </c>
      <c r="B224">
        <v>12874</v>
      </c>
      <c r="C224" t="s">
        <v>237</v>
      </c>
      <c r="D224" t="s">
        <v>145</v>
      </c>
      <c r="E224" t="s">
        <v>172</v>
      </c>
      <c r="F224">
        <v>16</v>
      </c>
      <c r="G224">
        <v>0</v>
      </c>
      <c r="H224">
        <v>0</v>
      </c>
      <c r="I224">
        <v>0</v>
      </c>
      <c r="J224">
        <v>0</v>
      </c>
      <c r="K224">
        <v>0</v>
      </c>
      <c r="L224">
        <v>0</v>
      </c>
      <c r="M224">
        <v>0</v>
      </c>
      <c r="N224">
        <v>0</v>
      </c>
      <c r="O224">
        <v>0</v>
      </c>
      <c r="P224">
        <v>0</v>
      </c>
      <c r="Q224">
        <v>0</v>
      </c>
      <c r="R224">
        <v>0</v>
      </c>
      <c r="S224">
        <v>0</v>
      </c>
      <c r="T224">
        <v>0</v>
      </c>
      <c r="U224">
        <v>0</v>
      </c>
      <c r="V224">
        <v>0</v>
      </c>
      <c r="W224">
        <f t="shared" si="7"/>
        <v>-95</v>
      </c>
    </row>
    <row r="225" spans="1:23" x14ac:dyDescent="0.25">
      <c r="A225">
        <f t="shared" si="6"/>
        <v>233</v>
      </c>
      <c r="B225">
        <v>14471</v>
      </c>
      <c r="C225" t="s">
        <v>246</v>
      </c>
      <c r="D225" t="s">
        <v>145</v>
      </c>
      <c r="E225" t="s">
        <v>176</v>
      </c>
      <c r="F225">
        <v>16</v>
      </c>
      <c r="G225">
        <v>0</v>
      </c>
      <c r="H225">
        <v>0</v>
      </c>
      <c r="I225">
        <v>0</v>
      </c>
      <c r="J225">
        <v>0</v>
      </c>
      <c r="K225">
        <v>0</v>
      </c>
      <c r="L225">
        <v>0</v>
      </c>
      <c r="M225">
        <v>0</v>
      </c>
      <c r="N225">
        <v>0</v>
      </c>
      <c r="O225">
        <v>0</v>
      </c>
      <c r="P225">
        <v>0</v>
      </c>
      <c r="Q225">
        <v>0</v>
      </c>
      <c r="R225">
        <v>0</v>
      </c>
      <c r="S225">
        <v>0</v>
      </c>
      <c r="T225">
        <v>0</v>
      </c>
      <c r="U225">
        <v>0</v>
      </c>
      <c r="V225">
        <v>0</v>
      </c>
      <c r="W225">
        <f t="shared" si="7"/>
        <v>-95</v>
      </c>
    </row>
    <row r="226" spans="1:23" x14ac:dyDescent="0.25">
      <c r="A226">
        <f t="shared" si="6"/>
        <v>233</v>
      </c>
      <c r="B226">
        <v>16559</v>
      </c>
      <c r="C226" t="s">
        <v>247</v>
      </c>
      <c r="D226" t="s">
        <v>145</v>
      </c>
      <c r="E226" t="s">
        <v>176</v>
      </c>
      <c r="F226">
        <v>16</v>
      </c>
      <c r="G226">
        <v>0</v>
      </c>
      <c r="H226">
        <v>0</v>
      </c>
      <c r="I226">
        <v>0</v>
      </c>
      <c r="J226">
        <v>0</v>
      </c>
      <c r="K226">
        <v>0</v>
      </c>
      <c r="L226">
        <v>0</v>
      </c>
      <c r="M226">
        <v>0</v>
      </c>
      <c r="N226">
        <v>0</v>
      </c>
      <c r="O226">
        <v>0</v>
      </c>
      <c r="P226">
        <v>0</v>
      </c>
      <c r="Q226">
        <v>0</v>
      </c>
      <c r="R226">
        <v>0</v>
      </c>
      <c r="S226">
        <v>0</v>
      </c>
      <c r="T226">
        <v>0</v>
      </c>
      <c r="U226">
        <v>0</v>
      </c>
      <c r="V226">
        <v>0</v>
      </c>
      <c r="W226">
        <f t="shared" si="7"/>
        <v>-95</v>
      </c>
    </row>
    <row r="227" spans="1:23" x14ac:dyDescent="0.25">
      <c r="A227">
        <f t="shared" si="6"/>
        <v>233</v>
      </c>
      <c r="B227">
        <v>16884</v>
      </c>
      <c r="C227" t="s">
        <v>353</v>
      </c>
      <c r="D227" t="s">
        <v>145</v>
      </c>
      <c r="E227" t="s">
        <v>288</v>
      </c>
      <c r="F227">
        <v>16</v>
      </c>
      <c r="G227">
        <v>0</v>
      </c>
      <c r="H227">
        <v>0</v>
      </c>
      <c r="I227">
        <v>0</v>
      </c>
      <c r="J227">
        <v>0</v>
      </c>
      <c r="K227">
        <v>0</v>
      </c>
      <c r="L227">
        <v>0</v>
      </c>
      <c r="M227">
        <v>0</v>
      </c>
      <c r="N227">
        <v>0</v>
      </c>
      <c r="O227">
        <v>1</v>
      </c>
      <c r="P227">
        <v>0</v>
      </c>
      <c r="Q227">
        <v>0</v>
      </c>
      <c r="R227">
        <v>0</v>
      </c>
      <c r="S227">
        <v>0</v>
      </c>
      <c r="T227">
        <v>0</v>
      </c>
      <c r="U227">
        <v>0</v>
      </c>
      <c r="V227">
        <v>0</v>
      </c>
      <c r="W227">
        <f t="shared" si="7"/>
        <v>-95</v>
      </c>
    </row>
    <row r="228" spans="1:23" x14ac:dyDescent="0.25">
      <c r="A228">
        <f t="shared" si="6"/>
        <v>233</v>
      </c>
      <c r="B228">
        <v>15350</v>
      </c>
      <c r="C228" t="s">
        <v>354</v>
      </c>
      <c r="D228" t="s">
        <v>145</v>
      </c>
      <c r="E228" t="s">
        <v>288</v>
      </c>
      <c r="F228">
        <v>16</v>
      </c>
      <c r="G228">
        <v>0</v>
      </c>
      <c r="H228">
        <v>0</v>
      </c>
      <c r="I228">
        <v>0</v>
      </c>
      <c r="J228">
        <v>0</v>
      </c>
      <c r="K228">
        <v>0</v>
      </c>
      <c r="L228">
        <v>0</v>
      </c>
      <c r="M228">
        <v>0</v>
      </c>
      <c r="N228">
        <v>0</v>
      </c>
      <c r="O228">
        <v>0</v>
      </c>
      <c r="P228">
        <v>0</v>
      </c>
      <c r="Q228">
        <v>0</v>
      </c>
      <c r="R228">
        <v>0</v>
      </c>
      <c r="S228">
        <v>0</v>
      </c>
      <c r="T228">
        <v>0</v>
      </c>
      <c r="U228">
        <v>0</v>
      </c>
      <c r="V228">
        <v>0</v>
      </c>
      <c r="W228">
        <f t="shared" si="7"/>
        <v>-95</v>
      </c>
    </row>
    <row r="229" spans="1:23" x14ac:dyDescent="0.25">
      <c r="A229">
        <f t="shared" si="6"/>
        <v>233</v>
      </c>
      <c r="B229">
        <v>15285</v>
      </c>
      <c r="C229" t="s">
        <v>500</v>
      </c>
      <c r="D229" t="s">
        <v>145</v>
      </c>
      <c r="E229" t="s">
        <v>393</v>
      </c>
      <c r="F229">
        <v>16</v>
      </c>
      <c r="G229">
        <v>0</v>
      </c>
      <c r="H229">
        <v>0</v>
      </c>
      <c r="I229">
        <v>0</v>
      </c>
      <c r="J229">
        <v>0</v>
      </c>
      <c r="K229">
        <v>0</v>
      </c>
      <c r="L229">
        <v>0</v>
      </c>
      <c r="M229">
        <v>0</v>
      </c>
      <c r="N229">
        <v>0</v>
      </c>
      <c r="O229">
        <v>0</v>
      </c>
      <c r="P229">
        <v>0</v>
      </c>
      <c r="Q229">
        <v>0</v>
      </c>
      <c r="R229">
        <v>0</v>
      </c>
      <c r="S229">
        <v>0</v>
      </c>
      <c r="T229">
        <v>0</v>
      </c>
      <c r="U229">
        <v>0</v>
      </c>
      <c r="V229">
        <v>0</v>
      </c>
      <c r="W229">
        <f t="shared" si="7"/>
        <v>-95</v>
      </c>
    </row>
    <row r="230" spans="1:23" x14ac:dyDescent="0.25">
      <c r="A230">
        <f t="shared" si="6"/>
        <v>233</v>
      </c>
      <c r="B230">
        <v>18080</v>
      </c>
      <c r="C230" t="s">
        <v>507</v>
      </c>
      <c r="D230" t="s">
        <v>145</v>
      </c>
      <c r="E230" t="s">
        <v>397</v>
      </c>
      <c r="F230">
        <v>16</v>
      </c>
      <c r="G230">
        <v>0</v>
      </c>
      <c r="H230">
        <v>0</v>
      </c>
      <c r="I230">
        <v>0</v>
      </c>
      <c r="J230">
        <v>0</v>
      </c>
      <c r="K230">
        <v>0</v>
      </c>
      <c r="L230">
        <v>0</v>
      </c>
      <c r="M230">
        <v>0</v>
      </c>
      <c r="N230">
        <v>0</v>
      </c>
      <c r="O230">
        <v>0</v>
      </c>
      <c r="P230">
        <v>0</v>
      </c>
      <c r="Q230">
        <v>0</v>
      </c>
      <c r="R230">
        <v>0</v>
      </c>
      <c r="S230">
        <v>0</v>
      </c>
      <c r="T230">
        <v>0</v>
      </c>
      <c r="U230">
        <v>0</v>
      </c>
      <c r="V230">
        <v>0</v>
      </c>
      <c r="W230">
        <f t="shared" si="7"/>
        <v>-95</v>
      </c>
    </row>
    <row r="231" spans="1:23" x14ac:dyDescent="0.25">
      <c r="A231">
        <f t="shared" si="6"/>
        <v>233</v>
      </c>
      <c r="B231">
        <v>14019</v>
      </c>
      <c r="C231" t="s">
        <v>525</v>
      </c>
      <c r="D231" t="s">
        <v>145</v>
      </c>
      <c r="E231" t="s">
        <v>408</v>
      </c>
      <c r="F231">
        <v>16</v>
      </c>
      <c r="G231">
        <v>0</v>
      </c>
      <c r="H231">
        <v>0</v>
      </c>
      <c r="I231">
        <v>0</v>
      </c>
      <c r="J231">
        <v>0</v>
      </c>
      <c r="K231">
        <v>0</v>
      </c>
      <c r="L231">
        <v>0</v>
      </c>
      <c r="M231">
        <v>0</v>
      </c>
      <c r="N231">
        <v>0</v>
      </c>
      <c r="O231">
        <v>0</v>
      </c>
      <c r="P231">
        <v>0</v>
      </c>
      <c r="Q231">
        <v>0</v>
      </c>
      <c r="R231">
        <v>0</v>
      </c>
      <c r="S231">
        <v>0</v>
      </c>
      <c r="T231">
        <v>0</v>
      </c>
      <c r="U231">
        <v>0</v>
      </c>
      <c r="V231">
        <v>0</v>
      </c>
      <c r="W231">
        <f t="shared" si="7"/>
        <v>-95</v>
      </c>
    </row>
    <row r="232" spans="1:23" x14ac:dyDescent="0.25">
      <c r="A232">
        <f t="shared" si="6"/>
        <v>233</v>
      </c>
      <c r="B232">
        <v>11501</v>
      </c>
      <c r="C232" t="s">
        <v>526</v>
      </c>
      <c r="D232" t="s">
        <v>145</v>
      </c>
      <c r="E232" t="s">
        <v>408</v>
      </c>
      <c r="F232">
        <v>16</v>
      </c>
      <c r="G232">
        <v>0</v>
      </c>
      <c r="H232">
        <v>0</v>
      </c>
      <c r="I232">
        <v>0</v>
      </c>
      <c r="J232">
        <v>0</v>
      </c>
      <c r="K232">
        <v>0</v>
      </c>
      <c r="L232">
        <v>0</v>
      </c>
      <c r="M232">
        <v>0</v>
      </c>
      <c r="N232">
        <v>0</v>
      </c>
      <c r="O232">
        <v>0</v>
      </c>
      <c r="P232">
        <v>0</v>
      </c>
      <c r="Q232">
        <v>0</v>
      </c>
      <c r="R232">
        <v>0</v>
      </c>
      <c r="S232">
        <v>0</v>
      </c>
      <c r="T232">
        <v>0</v>
      </c>
      <c r="U232">
        <v>0</v>
      </c>
      <c r="V232">
        <v>0</v>
      </c>
      <c r="W232">
        <f t="shared" si="7"/>
        <v>-95</v>
      </c>
    </row>
    <row r="233" spans="1:23" x14ac:dyDescent="0.25">
      <c r="A233">
        <f t="shared" si="6"/>
        <v>233</v>
      </c>
      <c r="B233">
        <v>16064</v>
      </c>
      <c r="C233" t="s">
        <v>527</v>
      </c>
      <c r="D233" t="s">
        <v>145</v>
      </c>
      <c r="E233" t="s">
        <v>408</v>
      </c>
      <c r="F233">
        <v>16</v>
      </c>
      <c r="G233">
        <v>0</v>
      </c>
      <c r="H233">
        <v>0</v>
      </c>
      <c r="I233">
        <v>0</v>
      </c>
      <c r="J233">
        <v>0</v>
      </c>
      <c r="K233">
        <v>0</v>
      </c>
      <c r="L233">
        <v>0</v>
      </c>
      <c r="M233">
        <v>0</v>
      </c>
      <c r="N233">
        <v>0</v>
      </c>
      <c r="O233">
        <v>0</v>
      </c>
      <c r="P233">
        <v>0</v>
      </c>
      <c r="Q233">
        <v>0</v>
      </c>
      <c r="R233">
        <v>0</v>
      </c>
      <c r="S233">
        <v>0</v>
      </c>
      <c r="T233">
        <v>0</v>
      </c>
      <c r="U233">
        <v>0</v>
      </c>
      <c r="V233">
        <v>0</v>
      </c>
      <c r="W233">
        <f t="shared" si="7"/>
        <v>-95</v>
      </c>
    </row>
    <row r="234" spans="1:23" x14ac:dyDescent="0.25">
      <c r="A234">
        <f t="shared" si="6"/>
        <v>233</v>
      </c>
      <c r="B234">
        <v>15779</v>
      </c>
      <c r="C234" t="s">
        <v>536</v>
      </c>
      <c r="D234" t="s">
        <v>145</v>
      </c>
      <c r="E234" t="s">
        <v>411</v>
      </c>
      <c r="F234">
        <v>16</v>
      </c>
      <c r="G234">
        <v>0</v>
      </c>
      <c r="H234">
        <v>0</v>
      </c>
      <c r="I234">
        <v>0</v>
      </c>
      <c r="J234">
        <v>0</v>
      </c>
      <c r="K234">
        <v>0</v>
      </c>
      <c r="L234">
        <v>0</v>
      </c>
      <c r="M234">
        <v>0</v>
      </c>
      <c r="N234">
        <v>0</v>
      </c>
      <c r="O234">
        <v>0</v>
      </c>
      <c r="P234">
        <v>0</v>
      </c>
      <c r="Q234">
        <v>0</v>
      </c>
      <c r="R234">
        <v>0</v>
      </c>
      <c r="S234">
        <v>0</v>
      </c>
      <c r="T234">
        <v>0</v>
      </c>
      <c r="U234">
        <v>0</v>
      </c>
      <c r="V234">
        <v>0</v>
      </c>
      <c r="W234">
        <f t="shared" si="7"/>
        <v>-95</v>
      </c>
    </row>
    <row r="235" spans="1:23" x14ac:dyDescent="0.25">
      <c r="A235">
        <f t="shared" si="6"/>
        <v>233</v>
      </c>
      <c r="B235">
        <v>12412</v>
      </c>
      <c r="C235" t="s">
        <v>537</v>
      </c>
      <c r="D235" t="s">
        <v>145</v>
      </c>
      <c r="E235" t="s">
        <v>411</v>
      </c>
      <c r="F235">
        <v>16</v>
      </c>
      <c r="G235">
        <v>0</v>
      </c>
      <c r="H235">
        <v>0</v>
      </c>
      <c r="I235">
        <v>0</v>
      </c>
      <c r="J235">
        <v>0</v>
      </c>
      <c r="K235">
        <v>0</v>
      </c>
      <c r="L235">
        <v>0</v>
      </c>
      <c r="M235">
        <v>0</v>
      </c>
      <c r="N235">
        <v>0</v>
      </c>
      <c r="O235">
        <v>0</v>
      </c>
      <c r="P235">
        <v>0</v>
      </c>
      <c r="Q235">
        <v>0</v>
      </c>
      <c r="R235">
        <v>0</v>
      </c>
      <c r="S235">
        <v>0</v>
      </c>
      <c r="T235">
        <v>0</v>
      </c>
      <c r="U235">
        <v>0</v>
      </c>
      <c r="V235">
        <v>0</v>
      </c>
      <c r="W235">
        <f t="shared" si="7"/>
        <v>-95</v>
      </c>
    </row>
    <row r="236" spans="1:23" x14ac:dyDescent="0.25">
      <c r="A236">
        <f t="shared" si="6"/>
        <v>233</v>
      </c>
      <c r="B236">
        <v>18097</v>
      </c>
      <c r="C236" t="s">
        <v>558</v>
      </c>
      <c r="D236" t="s">
        <v>145</v>
      </c>
      <c r="E236" t="s">
        <v>426</v>
      </c>
      <c r="F236">
        <v>16</v>
      </c>
      <c r="G236">
        <v>0</v>
      </c>
      <c r="H236">
        <v>0</v>
      </c>
      <c r="I236">
        <v>0</v>
      </c>
      <c r="J236">
        <v>0</v>
      </c>
      <c r="K236">
        <v>0</v>
      </c>
      <c r="L236">
        <v>0</v>
      </c>
      <c r="M236">
        <v>0</v>
      </c>
      <c r="N236">
        <v>0</v>
      </c>
      <c r="O236">
        <v>0</v>
      </c>
      <c r="P236">
        <v>0</v>
      </c>
      <c r="Q236">
        <v>0</v>
      </c>
      <c r="R236">
        <v>0</v>
      </c>
      <c r="S236">
        <v>0</v>
      </c>
      <c r="T236">
        <v>0</v>
      </c>
      <c r="U236">
        <v>0</v>
      </c>
      <c r="V236">
        <v>0</v>
      </c>
      <c r="W236">
        <f t="shared" si="7"/>
        <v>-95</v>
      </c>
    </row>
    <row r="237" spans="1:23" x14ac:dyDescent="0.25">
      <c r="A237">
        <f t="shared" si="6"/>
        <v>233</v>
      </c>
      <c r="B237">
        <v>7651</v>
      </c>
      <c r="C237" t="s">
        <v>566</v>
      </c>
      <c r="D237" t="s">
        <v>145</v>
      </c>
      <c r="E237" t="s">
        <v>430</v>
      </c>
      <c r="F237">
        <v>16</v>
      </c>
      <c r="G237">
        <v>0</v>
      </c>
      <c r="H237">
        <v>0</v>
      </c>
      <c r="I237">
        <v>0</v>
      </c>
      <c r="J237">
        <v>0</v>
      </c>
      <c r="K237">
        <v>0</v>
      </c>
      <c r="L237">
        <v>0</v>
      </c>
      <c r="M237">
        <v>0</v>
      </c>
      <c r="N237">
        <v>0</v>
      </c>
      <c r="O237">
        <v>0</v>
      </c>
      <c r="P237">
        <v>0</v>
      </c>
      <c r="Q237">
        <v>0</v>
      </c>
      <c r="R237">
        <v>0</v>
      </c>
      <c r="S237">
        <v>0</v>
      </c>
      <c r="T237">
        <v>0</v>
      </c>
      <c r="U237">
        <v>0</v>
      </c>
      <c r="V237">
        <v>0</v>
      </c>
      <c r="W237">
        <f t="shared" si="7"/>
        <v>-95</v>
      </c>
    </row>
    <row r="238" spans="1:23" x14ac:dyDescent="0.25">
      <c r="A238">
        <f t="shared" si="6"/>
        <v>233</v>
      </c>
      <c r="B238">
        <v>17191</v>
      </c>
      <c r="C238" t="s">
        <v>694</v>
      </c>
      <c r="D238" t="s">
        <v>145</v>
      </c>
      <c r="E238" t="s">
        <v>631</v>
      </c>
      <c r="F238">
        <v>16</v>
      </c>
      <c r="G238">
        <v>0</v>
      </c>
      <c r="H238">
        <v>0</v>
      </c>
      <c r="I238">
        <v>0</v>
      </c>
      <c r="J238">
        <v>0</v>
      </c>
      <c r="K238">
        <v>0</v>
      </c>
      <c r="L238">
        <v>0</v>
      </c>
      <c r="M238">
        <v>0</v>
      </c>
      <c r="N238">
        <v>0</v>
      </c>
      <c r="O238">
        <v>0</v>
      </c>
      <c r="P238">
        <v>0</v>
      </c>
      <c r="Q238">
        <v>0</v>
      </c>
      <c r="R238">
        <v>0</v>
      </c>
      <c r="S238">
        <v>0</v>
      </c>
      <c r="T238">
        <v>0</v>
      </c>
      <c r="U238">
        <v>0</v>
      </c>
      <c r="V238">
        <v>0</v>
      </c>
      <c r="W238">
        <f t="shared" si="7"/>
        <v>-95</v>
      </c>
    </row>
    <row r="239" spans="1:23" x14ac:dyDescent="0.25">
      <c r="A239">
        <f t="shared" si="6"/>
        <v>233</v>
      </c>
      <c r="B239">
        <v>13078</v>
      </c>
      <c r="C239" t="s">
        <v>695</v>
      </c>
      <c r="D239" t="s">
        <v>145</v>
      </c>
      <c r="E239" t="s">
        <v>631</v>
      </c>
      <c r="F239">
        <v>16</v>
      </c>
      <c r="G239">
        <v>0</v>
      </c>
      <c r="H239">
        <v>0</v>
      </c>
      <c r="I239">
        <v>0</v>
      </c>
      <c r="J239">
        <v>0</v>
      </c>
      <c r="K239">
        <v>0</v>
      </c>
      <c r="L239">
        <v>0</v>
      </c>
      <c r="M239">
        <v>0</v>
      </c>
      <c r="N239">
        <v>0</v>
      </c>
      <c r="O239">
        <v>0</v>
      </c>
      <c r="P239">
        <v>0</v>
      </c>
      <c r="Q239">
        <v>0</v>
      </c>
      <c r="R239">
        <v>0</v>
      </c>
      <c r="S239">
        <v>0</v>
      </c>
      <c r="T239">
        <v>0</v>
      </c>
      <c r="U239">
        <v>0</v>
      </c>
      <c r="V239">
        <v>0</v>
      </c>
      <c r="W239">
        <f t="shared" si="7"/>
        <v>-95</v>
      </c>
    </row>
    <row r="240" spans="1:23" x14ac:dyDescent="0.25">
      <c r="A240">
        <f t="shared" si="6"/>
        <v>233</v>
      </c>
      <c r="B240">
        <v>15038</v>
      </c>
      <c r="C240" t="s">
        <v>701</v>
      </c>
      <c r="D240" t="s">
        <v>145</v>
      </c>
      <c r="E240" t="s">
        <v>635</v>
      </c>
      <c r="F240">
        <v>16</v>
      </c>
      <c r="G240">
        <v>0</v>
      </c>
      <c r="H240">
        <v>0</v>
      </c>
      <c r="I240">
        <v>0</v>
      </c>
      <c r="J240">
        <v>0</v>
      </c>
      <c r="K240">
        <v>0</v>
      </c>
      <c r="L240">
        <v>0</v>
      </c>
      <c r="M240">
        <v>0</v>
      </c>
      <c r="N240">
        <v>0</v>
      </c>
      <c r="O240">
        <v>0</v>
      </c>
      <c r="P240">
        <v>0</v>
      </c>
      <c r="Q240">
        <v>0</v>
      </c>
      <c r="R240">
        <v>0</v>
      </c>
      <c r="S240">
        <v>0</v>
      </c>
      <c r="T240">
        <v>0</v>
      </c>
      <c r="U240">
        <v>0</v>
      </c>
      <c r="V240">
        <v>0</v>
      </c>
      <c r="W240">
        <f t="shared" si="7"/>
        <v>-95</v>
      </c>
    </row>
    <row r="241" spans="1:23" x14ac:dyDescent="0.25">
      <c r="A241">
        <f t="shared" si="6"/>
        <v>233</v>
      </c>
      <c r="B241">
        <v>11594</v>
      </c>
      <c r="C241" t="s">
        <v>709</v>
      </c>
      <c r="D241" t="s">
        <v>145</v>
      </c>
      <c r="E241" t="s">
        <v>639</v>
      </c>
      <c r="F241">
        <v>16</v>
      </c>
      <c r="G241">
        <v>0</v>
      </c>
      <c r="H241">
        <v>0</v>
      </c>
      <c r="I241">
        <v>0</v>
      </c>
      <c r="J241">
        <v>0</v>
      </c>
      <c r="K241">
        <v>0</v>
      </c>
      <c r="L241">
        <v>0</v>
      </c>
      <c r="M241">
        <v>0</v>
      </c>
      <c r="N241">
        <v>0</v>
      </c>
      <c r="O241">
        <v>0</v>
      </c>
      <c r="P241">
        <v>0</v>
      </c>
      <c r="Q241">
        <v>0</v>
      </c>
      <c r="R241">
        <v>0</v>
      </c>
      <c r="S241">
        <v>0</v>
      </c>
      <c r="T241">
        <v>0</v>
      </c>
      <c r="U241">
        <v>0</v>
      </c>
      <c r="V241">
        <v>0</v>
      </c>
      <c r="W241">
        <f t="shared" si="7"/>
        <v>-95</v>
      </c>
    </row>
    <row r="242" spans="1:23" x14ac:dyDescent="0.25">
      <c r="A242">
        <f t="shared" si="6"/>
        <v>233</v>
      </c>
      <c r="B242">
        <v>14720</v>
      </c>
      <c r="C242" t="s">
        <v>714</v>
      </c>
      <c r="D242" t="s">
        <v>145</v>
      </c>
      <c r="E242" t="s">
        <v>644</v>
      </c>
      <c r="F242">
        <v>16</v>
      </c>
      <c r="G242">
        <v>0</v>
      </c>
      <c r="H242">
        <v>0</v>
      </c>
      <c r="I242">
        <v>0</v>
      </c>
      <c r="J242">
        <v>0</v>
      </c>
      <c r="K242">
        <v>0</v>
      </c>
      <c r="L242">
        <v>0</v>
      </c>
      <c r="M242">
        <v>0</v>
      </c>
      <c r="N242">
        <v>0</v>
      </c>
      <c r="O242">
        <v>0</v>
      </c>
      <c r="P242">
        <v>0</v>
      </c>
      <c r="Q242">
        <v>0</v>
      </c>
      <c r="R242">
        <v>0</v>
      </c>
      <c r="S242">
        <v>0</v>
      </c>
      <c r="T242">
        <v>0</v>
      </c>
      <c r="U242">
        <v>0</v>
      </c>
      <c r="V242">
        <v>0</v>
      </c>
      <c r="W242">
        <f t="shared" si="7"/>
        <v>-95</v>
      </c>
    </row>
    <row r="243" spans="1:23" x14ac:dyDescent="0.25">
      <c r="A243">
        <f t="shared" si="6"/>
        <v>233</v>
      </c>
      <c r="B243">
        <v>16146</v>
      </c>
      <c r="C243" t="s">
        <v>726</v>
      </c>
      <c r="D243" t="s">
        <v>145</v>
      </c>
      <c r="E243" t="s">
        <v>648</v>
      </c>
      <c r="F243">
        <v>16</v>
      </c>
      <c r="G243">
        <v>0</v>
      </c>
      <c r="H243">
        <v>0</v>
      </c>
      <c r="I243">
        <v>0</v>
      </c>
      <c r="J243">
        <v>0</v>
      </c>
      <c r="K243">
        <v>0</v>
      </c>
      <c r="L243">
        <v>0</v>
      </c>
      <c r="M243">
        <v>0</v>
      </c>
      <c r="N243">
        <v>0</v>
      </c>
      <c r="O243">
        <v>0</v>
      </c>
      <c r="P243">
        <v>0</v>
      </c>
      <c r="Q243">
        <v>0</v>
      </c>
      <c r="R243">
        <v>0</v>
      </c>
      <c r="S243">
        <v>0</v>
      </c>
      <c r="T243">
        <v>0</v>
      </c>
      <c r="U243">
        <v>0</v>
      </c>
      <c r="V243">
        <v>0</v>
      </c>
      <c r="W243">
        <f t="shared" si="7"/>
        <v>-95</v>
      </c>
    </row>
    <row r="244" spans="1:23" x14ac:dyDescent="0.25">
      <c r="A244">
        <f t="shared" si="6"/>
        <v>233</v>
      </c>
      <c r="B244">
        <v>18145</v>
      </c>
      <c r="C244" t="s">
        <v>727</v>
      </c>
      <c r="D244" t="s">
        <v>145</v>
      </c>
      <c r="E244" t="s">
        <v>648</v>
      </c>
      <c r="F244">
        <v>16</v>
      </c>
      <c r="G244">
        <v>0</v>
      </c>
      <c r="H244">
        <v>0</v>
      </c>
      <c r="I244">
        <v>0</v>
      </c>
      <c r="J244">
        <v>0</v>
      </c>
      <c r="K244">
        <v>0</v>
      </c>
      <c r="L244">
        <v>0</v>
      </c>
      <c r="M244">
        <v>0</v>
      </c>
      <c r="N244">
        <v>0</v>
      </c>
      <c r="O244">
        <v>0</v>
      </c>
      <c r="P244">
        <v>0</v>
      </c>
      <c r="Q244">
        <v>0</v>
      </c>
      <c r="R244">
        <v>0</v>
      </c>
      <c r="S244">
        <v>0</v>
      </c>
      <c r="T244">
        <v>0</v>
      </c>
      <c r="U244">
        <v>0</v>
      </c>
      <c r="V244">
        <v>0</v>
      </c>
      <c r="W244">
        <f t="shared" si="7"/>
        <v>-95</v>
      </c>
    </row>
    <row r="245" spans="1:23" x14ac:dyDescent="0.25">
      <c r="A245">
        <f t="shared" si="6"/>
        <v>233</v>
      </c>
      <c r="B245">
        <v>14920</v>
      </c>
      <c r="C245" t="s">
        <v>728</v>
      </c>
      <c r="D245" t="s">
        <v>145</v>
      </c>
      <c r="E245" t="s">
        <v>648</v>
      </c>
      <c r="F245">
        <v>16</v>
      </c>
      <c r="G245">
        <v>0</v>
      </c>
      <c r="H245">
        <v>0</v>
      </c>
      <c r="I245">
        <v>0</v>
      </c>
      <c r="J245">
        <v>0</v>
      </c>
      <c r="K245">
        <v>0</v>
      </c>
      <c r="L245">
        <v>0</v>
      </c>
      <c r="M245">
        <v>0</v>
      </c>
      <c r="N245">
        <v>0</v>
      </c>
      <c r="O245">
        <v>0</v>
      </c>
      <c r="P245">
        <v>0</v>
      </c>
      <c r="Q245">
        <v>0</v>
      </c>
      <c r="R245">
        <v>0</v>
      </c>
      <c r="S245">
        <v>0</v>
      </c>
      <c r="T245">
        <v>0</v>
      </c>
      <c r="U245">
        <v>0</v>
      </c>
      <c r="V245">
        <v>0</v>
      </c>
      <c r="W245">
        <f t="shared" si="7"/>
        <v>-95</v>
      </c>
    </row>
    <row r="246" spans="1:23" x14ac:dyDescent="0.25">
      <c r="A246">
        <f t="shared" si="6"/>
        <v>233</v>
      </c>
      <c r="B246">
        <v>17052</v>
      </c>
      <c r="C246" t="s">
        <v>842</v>
      </c>
      <c r="D246" t="s">
        <v>145</v>
      </c>
      <c r="E246" t="s">
        <v>774</v>
      </c>
      <c r="F246">
        <v>16</v>
      </c>
      <c r="G246">
        <v>0</v>
      </c>
      <c r="H246">
        <v>0</v>
      </c>
      <c r="I246">
        <v>0</v>
      </c>
      <c r="J246">
        <v>0</v>
      </c>
      <c r="K246">
        <v>0</v>
      </c>
      <c r="L246">
        <v>0</v>
      </c>
      <c r="M246">
        <v>0</v>
      </c>
      <c r="N246">
        <v>0</v>
      </c>
      <c r="O246">
        <v>0</v>
      </c>
      <c r="P246">
        <v>0</v>
      </c>
      <c r="Q246">
        <v>0</v>
      </c>
      <c r="R246">
        <v>0</v>
      </c>
      <c r="S246">
        <v>0</v>
      </c>
      <c r="T246">
        <v>0</v>
      </c>
      <c r="U246">
        <v>0</v>
      </c>
      <c r="V246">
        <v>0</v>
      </c>
      <c r="W246">
        <f t="shared" si="7"/>
        <v>-95</v>
      </c>
    </row>
  </sheetData>
  <autoFilter ref="A1:V246">
    <sortState ref="A2:V246">
      <sortCondition ref="A1:A246"/>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131"/>
  <sheetViews>
    <sheetView topLeftCell="A77" workbookViewId="0">
      <selection activeCell="A90" sqref="A90:W90"/>
    </sheetView>
  </sheetViews>
  <sheetFormatPr defaultRowHeight="15" x14ac:dyDescent="0.25"/>
  <sheetData>
    <row r="1" spans="1:25" x14ac:dyDescent="0.25">
      <c r="A1" t="s">
        <v>51</v>
      </c>
      <c r="B1" t="s">
        <v>52</v>
      </c>
      <c r="C1" t="s">
        <v>53</v>
      </c>
      <c r="D1" t="s">
        <v>54</v>
      </c>
      <c r="E1" t="s">
        <v>55</v>
      </c>
      <c r="F1" t="s">
        <v>56</v>
      </c>
      <c r="G1" t="s">
        <v>119</v>
      </c>
      <c r="H1" t="s">
        <v>120</v>
      </c>
      <c r="I1" t="s">
        <v>59</v>
      </c>
      <c r="J1" t="s">
        <v>110</v>
      </c>
      <c r="K1" t="s">
        <v>112</v>
      </c>
      <c r="L1" t="s">
        <v>60</v>
      </c>
      <c r="M1" t="s">
        <v>123</v>
      </c>
      <c r="N1" t="s">
        <v>124</v>
      </c>
      <c r="O1" t="s">
        <v>125</v>
      </c>
      <c r="P1" t="s">
        <v>110</v>
      </c>
      <c r="Q1" t="s">
        <v>112</v>
      </c>
      <c r="R1" t="s">
        <v>121</v>
      </c>
      <c r="S1" t="s">
        <v>122</v>
      </c>
      <c r="T1" t="s">
        <v>63</v>
      </c>
      <c r="U1" t="s">
        <v>64</v>
      </c>
      <c r="V1" t="s">
        <v>903</v>
      </c>
      <c r="W1" t="s">
        <v>905</v>
      </c>
      <c r="X1">
        <v>27</v>
      </c>
      <c r="Y1">
        <v>95</v>
      </c>
    </row>
    <row r="2" spans="1:25" x14ac:dyDescent="0.25">
      <c r="A2" s="11">
        <f t="shared" ref="A2:A33" si="0">_xlfn.RANK.AVG(V2,$V$2:$V$131,0)</f>
        <v>1</v>
      </c>
      <c r="B2" s="11">
        <v>10974</v>
      </c>
      <c r="C2" s="11" t="s">
        <v>605</v>
      </c>
      <c r="D2" s="11" t="s">
        <v>153</v>
      </c>
      <c r="E2" s="11" t="s">
        <v>430</v>
      </c>
      <c r="F2" s="11">
        <v>16</v>
      </c>
      <c r="G2" s="11">
        <v>140.19999999999999</v>
      </c>
      <c r="H2" s="11">
        <v>82</v>
      </c>
      <c r="I2" s="11">
        <v>58.6</v>
      </c>
      <c r="J2" s="11">
        <v>1083</v>
      </c>
      <c r="K2" s="11">
        <v>11</v>
      </c>
      <c r="L2" s="11">
        <v>0</v>
      </c>
      <c r="M2" s="11">
        <v>7.7</v>
      </c>
      <c r="N2" s="11">
        <v>13.2</v>
      </c>
      <c r="O2" s="11">
        <v>0</v>
      </c>
      <c r="P2" s="11">
        <v>0</v>
      </c>
      <c r="Q2" s="11">
        <v>0</v>
      </c>
      <c r="R2" s="11">
        <v>0</v>
      </c>
      <c r="S2" s="11">
        <v>0</v>
      </c>
      <c r="T2" s="11">
        <v>10.9</v>
      </c>
      <c r="U2" s="11">
        <v>174.3</v>
      </c>
      <c r="V2" s="11">
        <v>256.3</v>
      </c>
      <c r="W2" s="11">
        <f>V2-$Y$1</f>
        <v>161.30000000000001</v>
      </c>
    </row>
    <row r="3" spans="1:25" x14ac:dyDescent="0.25">
      <c r="A3" s="11">
        <f t="shared" si="0"/>
        <v>2</v>
      </c>
      <c r="B3" s="11">
        <v>15100</v>
      </c>
      <c r="C3" s="11" t="s">
        <v>885</v>
      </c>
      <c r="D3" s="11" t="s">
        <v>153</v>
      </c>
      <c r="E3" s="11" t="s">
        <v>787</v>
      </c>
      <c r="F3" s="11">
        <v>16</v>
      </c>
      <c r="G3" s="11">
        <v>136.69999999999999</v>
      </c>
      <c r="H3" s="11">
        <v>93</v>
      </c>
      <c r="I3" s="11">
        <v>67.900000000000006</v>
      </c>
      <c r="J3" s="11">
        <v>995</v>
      </c>
      <c r="K3" s="11">
        <v>9</v>
      </c>
      <c r="L3" s="11">
        <v>0</v>
      </c>
      <c r="M3" s="11">
        <v>7.3</v>
      </c>
      <c r="N3" s="11">
        <v>10.7</v>
      </c>
      <c r="O3" s="11">
        <v>0</v>
      </c>
      <c r="P3" s="11">
        <v>0</v>
      </c>
      <c r="Q3" s="11">
        <v>0</v>
      </c>
      <c r="R3" s="11">
        <v>2</v>
      </c>
      <c r="S3" s="11">
        <v>2</v>
      </c>
      <c r="T3" s="11">
        <v>9.3000000000000007</v>
      </c>
      <c r="U3" s="11">
        <v>149.5</v>
      </c>
      <c r="V3" s="11">
        <v>242.5</v>
      </c>
      <c r="W3" s="11">
        <f t="shared" ref="W3:W66" si="1">V3-$Y$1</f>
        <v>147.5</v>
      </c>
    </row>
    <row r="4" spans="1:25" x14ac:dyDescent="0.25">
      <c r="A4" s="11">
        <f t="shared" si="0"/>
        <v>3</v>
      </c>
      <c r="B4" s="11">
        <v>1658</v>
      </c>
      <c r="C4" s="11" t="s">
        <v>260</v>
      </c>
      <c r="D4" s="11" t="s">
        <v>153</v>
      </c>
      <c r="E4" s="11" t="s">
        <v>176</v>
      </c>
      <c r="F4" s="11">
        <v>16</v>
      </c>
      <c r="G4" s="11">
        <v>140</v>
      </c>
      <c r="H4" s="11">
        <v>80</v>
      </c>
      <c r="I4" s="11">
        <v>57.1</v>
      </c>
      <c r="J4" s="11">
        <v>1061</v>
      </c>
      <c r="K4" s="11">
        <v>6</v>
      </c>
      <c r="L4" s="11">
        <v>0</v>
      </c>
      <c r="M4" s="11">
        <v>7.6</v>
      </c>
      <c r="N4" s="11">
        <v>13.3</v>
      </c>
      <c r="O4" s="11">
        <v>0</v>
      </c>
      <c r="P4" s="11">
        <v>0</v>
      </c>
      <c r="Q4" s="11">
        <v>0</v>
      </c>
      <c r="R4" s="11">
        <v>1</v>
      </c>
      <c r="S4" s="11">
        <v>1</v>
      </c>
      <c r="T4" s="11">
        <v>8.8000000000000007</v>
      </c>
      <c r="U4" s="11">
        <v>140.1</v>
      </c>
      <c r="V4" s="11">
        <v>220.1</v>
      </c>
      <c r="W4" s="11">
        <f t="shared" si="1"/>
        <v>125.1</v>
      </c>
    </row>
    <row r="5" spans="1:25" x14ac:dyDescent="0.25">
      <c r="A5" s="11">
        <f t="shared" si="0"/>
        <v>4</v>
      </c>
      <c r="B5" s="11">
        <v>7175</v>
      </c>
      <c r="C5" s="11" t="s">
        <v>881</v>
      </c>
      <c r="D5" s="11" t="s">
        <v>153</v>
      </c>
      <c r="E5" s="11" t="s">
        <v>783</v>
      </c>
      <c r="F5" s="11">
        <v>16</v>
      </c>
      <c r="G5" s="11">
        <v>111.5</v>
      </c>
      <c r="H5" s="11">
        <v>82</v>
      </c>
      <c r="I5" s="11">
        <v>73.2</v>
      </c>
      <c r="J5" s="11">
        <v>985</v>
      </c>
      <c r="K5" s="11">
        <v>5</v>
      </c>
      <c r="L5" s="11">
        <v>0</v>
      </c>
      <c r="M5" s="11">
        <v>8.8000000000000007</v>
      </c>
      <c r="N5" s="11">
        <v>12</v>
      </c>
      <c r="O5" s="11">
        <v>0</v>
      </c>
      <c r="P5" s="11">
        <v>0</v>
      </c>
      <c r="Q5" s="11">
        <v>0</v>
      </c>
      <c r="R5" s="11">
        <v>0</v>
      </c>
      <c r="S5" s="11">
        <v>0</v>
      </c>
      <c r="T5" s="11">
        <v>8</v>
      </c>
      <c r="U5" s="11">
        <v>128.5</v>
      </c>
      <c r="V5" s="11">
        <v>210.5</v>
      </c>
      <c r="W5" s="11">
        <f t="shared" si="1"/>
        <v>115.5</v>
      </c>
    </row>
    <row r="6" spans="1:25" x14ac:dyDescent="0.25">
      <c r="A6" s="11">
        <f t="shared" si="0"/>
        <v>5</v>
      </c>
      <c r="B6" s="11">
        <v>13997</v>
      </c>
      <c r="C6" s="11" t="s">
        <v>729</v>
      </c>
      <c r="D6" s="11" t="s">
        <v>153</v>
      </c>
      <c r="E6" s="11" t="s">
        <v>631</v>
      </c>
      <c r="F6" s="11">
        <v>16</v>
      </c>
      <c r="G6" s="11">
        <v>98.6</v>
      </c>
      <c r="H6" s="11">
        <v>73</v>
      </c>
      <c r="I6" s="11">
        <v>73.7</v>
      </c>
      <c r="J6" s="11">
        <v>849</v>
      </c>
      <c r="K6" s="11">
        <v>5</v>
      </c>
      <c r="L6" s="11">
        <v>0</v>
      </c>
      <c r="M6" s="11">
        <v>8.6</v>
      </c>
      <c r="N6" s="11">
        <v>11.6</v>
      </c>
      <c r="O6" s="11">
        <v>0</v>
      </c>
      <c r="P6" s="11">
        <v>0</v>
      </c>
      <c r="Q6" s="11">
        <v>0</v>
      </c>
      <c r="R6" s="11">
        <v>0</v>
      </c>
      <c r="S6" s="11">
        <v>0</v>
      </c>
      <c r="T6" s="11">
        <v>7.2</v>
      </c>
      <c r="U6" s="11">
        <v>114.9</v>
      </c>
      <c r="V6" s="11">
        <v>187.9</v>
      </c>
      <c r="W6" s="11">
        <f t="shared" si="1"/>
        <v>92.9</v>
      </c>
    </row>
    <row r="7" spans="1:25" x14ac:dyDescent="0.25">
      <c r="A7" s="11">
        <f t="shared" si="0"/>
        <v>6</v>
      </c>
      <c r="B7" s="11">
        <v>15048</v>
      </c>
      <c r="C7" s="11" t="s">
        <v>587</v>
      </c>
      <c r="D7" s="11" t="s">
        <v>153</v>
      </c>
      <c r="E7" s="11" t="s">
        <v>411</v>
      </c>
      <c r="F7" s="11">
        <v>16</v>
      </c>
      <c r="G7" s="11">
        <v>101.5</v>
      </c>
      <c r="H7" s="11">
        <v>73</v>
      </c>
      <c r="I7" s="11">
        <v>72.3</v>
      </c>
      <c r="J7" s="11">
        <v>834</v>
      </c>
      <c r="K7" s="11">
        <v>6</v>
      </c>
      <c r="L7" s="11">
        <v>0</v>
      </c>
      <c r="M7" s="11">
        <v>8.3000000000000007</v>
      </c>
      <c r="N7" s="11">
        <v>11.4</v>
      </c>
      <c r="O7" s="11">
        <v>0</v>
      </c>
      <c r="P7" s="11">
        <v>0</v>
      </c>
      <c r="Q7" s="11">
        <v>0</v>
      </c>
      <c r="R7" s="11">
        <v>3</v>
      </c>
      <c r="S7" s="11">
        <v>3</v>
      </c>
      <c r="T7" s="11">
        <v>7.1</v>
      </c>
      <c r="U7" s="11">
        <v>113.4</v>
      </c>
      <c r="V7" s="11">
        <v>186.4</v>
      </c>
      <c r="W7" s="11">
        <f t="shared" si="1"/>
        <v>91.4</v>
      </c>
    </row>
    <row r="8" spans="1:25" x14ac:dyDescent="0.25">
      <c r="A8" s="11">
        <f t="shared" si="0"/>
        <v>7</v>
      </c>
      <c r="B8" s="11">
        <v>1181</v>
      </c>
      <c r="C8" s="11" t="s">
        <v>606</v>
      </c>
      <c r="D8" s="11" t="s">
        <v>153</v>
      </c>
      <c r="E8" s="11" t="s">
        <v>430</v>
      </c>
      <c r="F8" s="11">
        <v>16</v>
      </c>
      <c r="G8" s="11">
        <v>102.3</v>
      </c>
      <c r="H8" s="11">
        <v>62</v>
      </c>
      <c r="I8" s="11">
        <v>60.8</v>
      </c>
      <c r="J8" s="11">
        <v>800</v>
      </c>
      <c r="K8" s="11">
        <v>6</v>
      </c>
      <c r="L8" s="11">
        <v>0</v>
      </c>
      <c r="M8" s="11">
        <v>7.8</v>
      </c>
      <c r="N8" s="11">
        <v>12.9</v>
      </c>
      <c r="O8" s="11">
        <v>0</v>
      </c>
      <c r="P8" s="11">
        <v>0</v>
      </c>
      <c r="Q8" s="11">
        <v>0</v>
      </c>
      <c r="R8" s="11">
        <v>0</v>
      </c>
      <c r="S8" s="11">
        <v>0</v>
      </c>
      <c r="T8" s="11">
        <v>7.2</v>
      </c>
      <c r="U8" s="11">
        <v>116</v>
      </c>
      <c r="V8" s="11">
        <v>178</v>
      </c>
      <c r="W8" s="11">
        <f t="shared" si="1"/>
        <v>83</v>
      </c>
    </row>
    <row r="9" spans="1:25" x14ac:dyDescent="0.25">
      <c r="A9" s="11">
        <f t="shared" si="0"/>
        <v>8</v>
      </c>
      <c r="B9" s="11">
        <v>7884</v>
      </c>
      <c r="C9" s="11" t="s">
        <v>865</v>
      </c>
      <c r="D9" s="11" t="s">
        <v>153</v>
      </c>
      <c r="E9" s="11" t="s">
        <v>768</v>
      </c>
      <c r="F9" s="11">
        <v>16</v>
      </c>
      <c r="G9" s="11">
        <v>96.7</v>
      </c>
      <c r="H9" s="11">
        <v>62</v>
      </c>
      <c r="I9" s="11">
        <v>63.9</v>
      </c>
      <c r="J9" s="11">
        <v>724</v>
      </c>
      <c r="K9" s="11">
        <v>6</v>
      </c>
      <c r="L9" s="11">
        <v>0</v>
      </c>
      <c r="M9" s="11">
        <v>7.5</v>
      </c>
      <c r="N9" s="11">
        <v>11.7</v>
      </c>
      <c r="O9" s="11">
        <v>0</v>
      </c>
      <c r="P9" s="11">
        <v>0</v>
      </c>
      <c r="Q9" s="11">
        <v>0</v>
      </c>
      <c r="R9" s="11">
        <v>0</v>
      </c>
      <c r="S9" s="11">
        <v>0</v>
      </c>
      <c r="T9" s="11">
        <v>6.8</v>
      </c>
      <c r="U9" s="11">
        <v>108.4</v>
      </c>
      <c r="V9" s="11">
        <v>170.4</v>
      </c>
      <c r="W9" s="11">
        <f t="shared" si="1"/>
        <v>75.400000000000006</v>
      </c>
    </row>
    <row r="10" spans="1:25" x14ac:dyDescent="0.25">
      <c r="A10" s="11">
        <f t="shared" si="0"/>
        <v>9</v>
      </c>
      <c r="B10" s="11">
        <v>722</v>
      </c>
      <c r="C10" s="11" t="s">
        <v>373</v>
      </c>
      <c r="D10" s="11" t="s">
        <v>153</v>
      </c>
      <c r="E10" s="11" t="s">
        <v>288</v>
      </c>
      <c r="F10" s="11">
        <v>16</v>
      </c>
      <c r="G10" s="11">
        <v>124.3</v>
      </c>
      <c r="H10" s="11">
        <v>71</v>
      </c>
      <c r="I10" s="11">
        <v>57.3</v>
      </c>
      <c r="J10" s="11">
        <v>758</v>
      </c>
      <c r="K10" s="11">
        <v>3</v>
      </c>
      <c r="L10" s="11">
        <v>0</v>
      </c>
      <c r="M10" s="11">
        <v>6.1</v>
      </c>
      <c r="N10" s="11">
        <v>10.7</v>
      </c>
      <c r="O10" s="11">
        <v>0</v>
      </c>
      <c r="P10" s="11">
        <v>0</v>
      </c>
      <c r="Q10" s="11">
        <v>0</v>
      </c>
      <c r="R10" s="11">
        <v>1</v>
      </c>
      <c r="S10" s="11">
        <v>1</v>
      </c>
      <c r="T10" s="11">
        <v>5.7</v>
      </c>
      <c r="U10" s="11">
        <v>91.8</v>
      </c>
      <c r="V10" s="11">
        <v>162.80000000000001</v>
      </c>
      <c r="W10" s="11">
        <f t="shared" si="1"/>
        <v>67.800000000000011</v>
      </c>
    </row>
    <row r="11" spans="1:25" x14ac:dyDescent="0.25">
      <c r="A11" s="11">
        <f t="shared" si="0"/>
        <v>10</v>
      </c>
      <c r="B11" s="11">
        <v>11488</v>
      </c>
      <c r="C11" s="11" t="s">
        <v>869</v>
      </c>
      <c r="D11" s="11" t="s">
        <v>153</v>
      </c>
      <c r="E11" s="11" t="s">
        <v>772</v>
      </c>
      <c r="F11" s="11">
        <v>16</v>
      </c>
      <c r="G11" s="11">
        <v>88.2</v>
      </c>
      <c r="H11" s="11">
        <v>60</v>
      </c>
      <c r="I11" s="11">
        <v>68.2</v>
      </c>
      <c r="J11" s="11">
        <v>666</v>
      </c>
      <c r="K11" s="11">
        <v>4</v>
      </c>
      <c r="L11" s="11">
        <v>0</v>
      </c>
      <c r="M11" s="11">
        <v>7.6</v>
      </c>
      <c r="N11" s="11">
        <v>11.1</v>
      </c>
      <c r="O11" s="11">
        <v>0</v>
      </c>
      <c r="P11" s="11">
        <v>0</v>
      </c>
      <c r="Q11" s="11">
        <v>0</v>
      </c>
      <c r="R11" s="11">
        <v>1</v>
      </c>
      <c r="S11" s="11">
        <v>1</v>
      </c>
      <c r="T11" s="11">
        <v>5.5</v>
      </c>
      <c r="U11" s="11">
        <v>88.6</v>
      </c>
      <c r="V11" s="11">
        <v>148.6</v>
      </c>
      <c r="W11" s="11">
        <f t="shared" si="1"/>
        <v>53.599999999999994</v>
      </c>
    </row>
    <row r="12" spans="1:25" x14ac:dyDescent="0.25">
      <c r="A12" s="11">
        <f t="shared" si="0"/>
        <v>11</v>
      </c>
      <c r="B12" s="11">
        <v>12415</v>
      </c>
      <c r="C12" s="11" t="s">
        <v>362</v>
      </c>
      <c r="D12" s="11" t="s">
        <v>153</v>
      </c>
      <c r="E12" s="11" t="s">
        <v>273</v>
      </c>
      <c r="F12" s="11">
        <v>16</v>
      </c>
      <c r="G12" s="11">
        <v>80.5</v>
      </c>
      <c r="H12" s="11">
        <v>50</v>
      </c>
      <c r="I12" s="11">
        <v>62.5</v>
      </c>
      <c r="J12" s="11">
        <v>586</v>
      </c>
      <c r="K12" s="11">
        <v>6</v>
      </c>
      <c r="L12" s="11">
        <v>0</v>
      </c>
      <c r="M12" s="11">
        <v>7.3</v>
      </c>
      <c r="N12" s="11">
        <v>11.7</v>
      </c>
      <c r="O12" s="11">
        <v>0</v>
      </c>
      <c r="P12" s="11">
        <v>0</v>
      </c>
      <c r="Q12" s="11">
        <v>0</v>
      </c>
      <c r="R12" s="11">
        <v>0</v>
      </c>
      <c r="S12" s="11">
        <v>0</v>
      </c>
      <c r="T12" s="11">
        <v>5.9</v>
      </c>
      <c r="U12" s="11">
        <v>94.6</v>
      </c>
      <c r="V12" s="11">
        <v>144.6</v>
      </c>
      <c r="W12" s="11">
        <f t="shared" si="1"/>
        <v>49.599999999999994</v>
      </c>
    </row>
    <row r="13" spans="1:25" x14ac:dyDescent="0.25">
      <c r="A13" s="11">
        <f t="shared" si="0"/>
        <v>12</v>
      </c>
      <c r="B13" s="11">
        <v>4577</v>
      </c>
      <c r="C13" s="11" t="s">
        <v>370</v>
      </c>
      <c r="D13" s="11" t="s">
        <v>153</v>
      </c>
      <c r="E13" s="11" t="s">
        <v>283</v>
      </c>
      <c r="F13" s="11">
        <v>16</v>
      </c>
      <c r="G13" s="11">
        <v>90</v>
      </c>
      <c r="H13" s="11">
        <v>52</v>
      </c>
      <c r="I13" s="11">
        <v>57.8</v>
      </c>
      <c r="J13" s="11">
        <v>674</v>
      </c>
      <c r="K13" s="11">
        <v>4</v>
      </c>
      <c r="L13" s="11">
        <v>0</v>
      </c>
      <c r="M13" s="11">
        <v>7.5</v>
      </c>
      <c r="N13" s="11">
        <v>13</v>
      </c>
      <c r="O13" s="11">
        <v>0</v>
      </c>
      <c r="P13" s="11">
        <v>0</v>
      </c>
      <c r="Q13" s="11">
        <v>0</v>
      </c>
      <c r="R13" s="11">
        <v>0</v>
      </c>
      <c r="S13" s="11">
        <v>0</v>
      </c>
      <c r="T13" s="11">
        <v>5.7</v>
      </c>
      <c r="U13" s="11">
        <v>91.4</v>
      </c>
      <c r="V13" s="11">
        <v>143.4</v>
      </c>
      <c r="W13" s="11">
        <f t="shared" si="1"/>
        <v>48.400000000000006</v>
      </c>
    </row>
    <row r="14" spans="1:25" x14ac:dyDescent="0.25">
      <c r="A14">
        <f t="shared" si="0"/>
        <v>13</v>
      </c>
      <c r="B14">
        <v>14122</v>
      </c>
      <c r="C14" t="s">
        <v>747</v>
      </c>
      <c r="D14" t="s">
        <v>153</v>
      </c>
      <c r="E14" t="s">
        <v>648</v>
      </c>
      <c r="F14">
        <v>16</v>
      </c>
      <c r="G14">
        <v>75</v>
      </c>
      <c r="H14">
        <v>50</v>
      </c>
      <c r="I14">
        <v>66.7</v>
      </c>
      <c r="J14">
        <v>631</v>
      </c>
      <c r="K14">
        <v>5</v>
      </c>
      <c r="L14">
        <v>0</v>
      </c>
      <c r="M14">
        <v>8.4</v>
      </c>
      <c r="N14">
        <v>12.6</v>
      </c>
      <c r="O14">
        <v>0</v>
      </c>
      <c r="P14">
        <v>0</v>
      </c>
      <c r="Q14">
        <v>0</v>
      </c>
      <c r="R14">
        <v>0</v>
      </c>
      <c r="S14">
        <v>0</v>
      </c>
      <c r="T14">
        <v>5.8</v>
      </c>
      <c r="U14">
        <v>93.1</v>
      </c>
      <c r="V14">
        <v>143.1</v>
      </c>
      <c r="W14">
        <f t="shared" si="1"/>
        <v>48.099999999999994</v>
      </c>
    </row>
    <row r="15" spans="1:25" x14ac:dyDescent="0.25">
      <c r="A15" s="11">
        <f t="shared" si="0"/>
        <v>14</v>
      </c>
      <c r="B15" s="11">
        <v>13027</v>
      </c>
      <c r="C15" s="11" t="s">
        <v>584</v>
      </c>
      <c r="D15" s="11" t="s">
        <v>153</v>
      </c>
      <c r="E15" s="11" t="s">
        <v>408</v>
      </c>
      <c r="F15" s="11">
        <v>16</v>
      </c>
      <c r="G15" s="11">
        <v>78.400000000000006</v>
      </c>
      <c r="H15" s="11">
        <v>53</v>
      </c>
      <c r="I15" s="11">
        <v>67.900000000000006</v>
      </c>
      <c r="J15" s="11">
        <v>591</v>
      </c>
      <c r="K15" s="11">
        <v>5</v>
      </c>
      <c r="L15" s="11">
        <v>0</v>
      </c>
      <c r="M15" s="11">
        <v>7.6</v>
      </c>
      <c r="N15" s="11">
        <v>11.2</v>
      </c>
      <c r="O15" s="11">
        <v>0</v>
      </c>
      <c r="P15" s="11">
        <v>0</v>
      </c>
      <c r="Q15" s="11">
        <v>0</v>
      </c>
      <c r="R15" s="11">
        <v>0</v>
      </c>
      <c r="S15" s="11">
        <v>0</v>
      </c>
      <c r="T15" s="11">
        <v>5.6</v>
      </c>
      <c r="U15" s="11">
        <v>89.1</v>
      </c>
      <c r="V15" s="11">
        <v>142.1</v>
      </c>
      <c r="W15" s="11">
        <f t="shared" si="1"/>
        <v>47.099999999999994</v>
      </c>
    </row>
    <row r="16" spans="1:25" x14ac:dyDescent="0.25">
      <c r="A16" s="11">
        <f t="shared" si="0"/>
        <v>15</v>
      </c>
      <c r="B16" s="11">
        <v>14918</v>
      </c>
      <c r="C16" s="11" t="s">
        <v>366</v>
      </c>
      <c r="D16" s="11" t="s">
        <v>153</v>
      </c>
      <c r="E16" s="11" t="s">
        <v>279</v>
      </c>
      <c r="F16" s="11">
        <v>16</v>
      </c>
      <c r="G16" s="11">
        <v>68.599999999999994</v>
      </c>
      <c r="H16" s="11">
        <v>48</v>
      </c>
      <c r="I16" s="11">
        <v>69.599999999999994</v>
      </c>
      <c r="J16" s="11">
        <v>571</v>
      </c>
      <c r="K16" s="11">
        <v>6</v>
      </c>
      <c r="L16" s="11">
        <v>0</v>
      </c>
      <c r="M16" s="11">
        <v>8.3000000000000007</v>
      </c>
      <c r="N16" s="11">
        <v>11.9</v>
      </c>
      <c r="O16" s="11">
        <v>0</v>
      </c>
      <c r="P16" s="11">
        <v>0</v>
      </c>
      <c r="Q16" s="11">
        <v>0</v>
      </c>
      <c r="R16" s="11">
        <v>0</v>
      </c>
      <c r="S16" s="11">
        <v>0</v>
      </c>
      <c r="T16" s="11">
        <v>5.8</v>
      </c>
      <c r="U16" s="11">
        <v>93.1</v>
      </c>
      <c r="V16" s="11">
        <v>141.1</v>
      </c>
      <c r="W16" s="11">
        <f t="shared" si="1"/>
        <v>46.099999999999994</v>
      </c>
    </row>
    <row r="17" spans="1:23" x14ac:dyDescent="0.25">
      <c r="A17" s="11">
        <f t="shared" si="0"/>
        <v>16</v>
      </c>
      <c r="B17" s="11">
        <v>13987</v>
      </c>
      <c r="C17" s="11" t="s">
        <v>580</v>
      </c>
      <c r="D17" s="11" t="s">
        <v>153</v>
      </c>
      <c r="E17" s="11" t="s">
        <v>404</v>
      </c>
      <c r="F17" s="11">
        <v>16</v>
      </c>
      <c r="G17" s="11">
        <v>80</v>
      </c>
      <c r="H17" s="11">
        <v>46</v>
      </c>
      <c r="I17" s="11">
        <v>57.5</v>
      </c>
      <c r="J17" s="11">
        <v>490</v>
      </c>
      <c r="K17" s="11">
        <v>6</v>
      </c>
      <c r="L17" s="11">
        <v>0</v>
      </c>
      <c r="M17" s="11">
        <v>6.1</v>
      </c>
      <c r="N17" s="11">
        <v>10.7</v>
      </c>
      <c r="O17" s="11">
        <v>0</v>
      </c>
      <c r="P17" s="11">
        <v>0</v>
      </c>
      <c r="Q17" s="11">
        <v>0</v>
      </c>
      <c r="R17" s="11">
        <v>0</v>
      </c>
      <c r="S17" s="11">
        <v>0</v>
      </c>
      <c r="T17" s="11">
        <v>5.3</v>
      </c>
      <c r="U17" s="11">
        <v>85</v>
      </c>
      <c r="V17" s="11">
        <v>131</v>
      </c>
      <c r="W17" s="11">
        <f t="shared" si="1"/>
        <v>36</v>
      </c>
    </row>
    <row r="18" spans="1:23" x14ac:dyDescent="0.25">
      <c r="A18" s="11">
        <f t="shared" si="0"/>
        <v>17</v>
      </c>
      <c r="B18" s="11">
        <v>14856</v>
      </c>
      <c r="C18" s="11" t="s">
        <v>744</v>
      </c>
      <c r="D18" s="11" t="s">
        <v>153</v>
      </c>
      <c r="E18" s="11" t="s">
        <v>107</v>
      </c>
      <c r="F18" s="11">
        <v>16</v>
      </c>
      <c r="G18" s="11">
        <v>91.7</v>
      </c>
      <c r="H18" s="11">
        <v>53</v>
      </c>
      <c r="I18" s="11">
        <v>57.6</v>
      </c>
      <c r="J18" s="11">
        <v>603</v>
      </c>
      <c r="K18" s="11">
        <v>3</v>
      </c>
      <c r="L18" s="11">
        <v>0</v>
      </c>
      <c r="M18" s="11">
        <v>6.6</v>
      </c>
      <c r="N18" s="11">
        <v>11.4</v>
      </c>
      <c r="O18" s="11">
        <v>0</v>
      </c>
      <c r="P18" s="11">
        <v>0</v>
      </c>
      <c r="Q18" s="11">
        <v>0</v>
      </c>
      <c r="R18" s="11">
        <v>1</v>
      </c>
      <c r="S18" s="11">
        <v>1</v>
      </c>
      <c r="T18" s="11">
        <v>4.8</v>
      </c>
      <c r="U18" s="11">
        <v>76.3</v>
      </c>
      <c r="V18" s="11">
        <v>129.30000000000001</v>
      </c>
      <c r="W18" s="11">
        <f t="shared" si="1"/>
        <v>34.300000000000011</v>
      </c>
    </row>
    <row r="19" spans="1:23" x14ac:dyDescent="0.25">
      <c r="A19" s="11">
        <f t="shared" si="0"/>
        <v>18</v>
      </c>
      <c r="B19" s="11">
        <v>12751</v>
      </c>
      <c r="C19" s="11" t="s">
        <v>256</v>
      </c>
      <c r="D19" s="11" t="s">
        <v>153</v>
      </c>
      <c r="E19" s="11" t="s">
        <v>172</v>
      </c>
      <c r="F19" s="11">
        <v>16</v>
      </c>
      <c r="G19" s="11">
        <v>67.599999999999994</v>
      </c>
      <c r="H19" s="11">
        <v>49</v>
      </c>
      <c r="I19" s="11">
        <v>72.099999999999994</v>
      </c>
      <c r="J19" s="11">
        <v>588</v>
      </c>
      <c r="K19" s="11">
        <v>3</v>
      </c>
      <c r="L19" s="11">
        <v>0</v>
      </c>
      <c r="M19" s="11">
        <v>8.6</v>
      </c>
      <c r="N19" s="11">
        <v>12</v>
      </c>
      <c r="O19" s="11">
        <v>0</v>
      </c>
      <c r="P19" s="11">
        <v>0</v>
      </c>
      <c r="Q19" s="11">
        <v>0</v>
      </c>
      <c r="R19" s="11">
        <v>0</v>
      </c>
      <c r="S19" s="11">
        <v>0</v>
      </c>
      <c r="T19" s="11">
        <v>4.8</v>
      </c>
      <c r="U19" s="11">
        <v>76.8</v>
      </c>
      <c r="V19" s="11">
        <v>125.8</v>
      </c>
      <c r="W19" s="11">
        <f t="shared" si="1"/>
        <v>30.799999999999997</v>
      </c>
    </row>
    <row r="20" spans="1:23" x14ac:dyDescent="0.25">
      <c r="A20" s="11">
        <f t="shared" si="0"/>
        <v>19</v>
      </c>
      <c r="B20" s="11">
        <v>16451</v>
      </c>
      <c r="C20" s="11" t="s">
        <v>567</v>
      </c>
      <c r="D20" s="11" t="s">
        <v>153</v>
      </c>
      <c r="E20" s="11" t="s">
        <v>393</v>
      </c>
      <c r="F20" s="11">
        <v>16</v>
      </c>
      <c r="G20" s="11">
        <v>61.7</v>
      </c>
      <c r="H20" s="11">
        <v>45</v>
      </c>
      <c r="I20" s="11">
        <v>72.599999999999994</v>
      </c>
      <c r="J20" s="11">
        <v>558</v>
      </c>
      <c r="K20" s="11">
        <v>4</v>
      </c>
      <c r="L20" s="11">
        <v>0</v>
      </c>
      <c r="M20" s="11">
        <v>9</v>
      </c>
      <c r="N20" s="11">
        <v>12.4</v>
      </c>
      <c r="O20" s="11">
        <v>0</v>
      </c>
      <c r="P20" s="11">
        <v>0</v>
      </c>
      <c r="Q20" s="11">
        <v>0</v>
      </c>
      <c r="R20" s="11">
        <v>0</v>
      </c>
      <c r="S20" s="11">
        <v>0</v>
      </c>
      <c r="T20" s="11">
        <v>5</v>
      </c>
      <c r="U20" s="11">
        <v>79.8</v>
      </c>
      <c r="V20" s="11">
        <v>124.8</v>
      </c>
      <c r="W20" s="11">
        <f t="shared" si="1"/>
        <v>29.799999999999997</v>
      </c>
    </row>
    <row r="21" spans="1:23" x14ac:dyDescent="0.25">
      <c r="A21">
        <f t="shared" si="0"/>
        <v>20</v>
      </c>
      <c r="B21">
        <v>16829</v>
      </c>
      <c r="C21" t="s">
        <v>740</v>
      </c>
      <c r="D21" t="s">
        <v>153</v>
      </c>
      <c r="E21" t="s">
        <v>644</v>
      </c>
      <c r="F21">
        <v>16</v>
      </c>
      <c r="G21">
        <v>70.8</v>
      </c>
      <c r="H21">
        <v>44</v>
      </c>
      <c r="I21">
        <v>62</v>
      </c>
      <c r="J21">
        <v>487</v>
      </c>
      <c r="K21">
        <v>4</v>
      </c>
      <c r="L21">
        <v>0</v>
      </c>
      <c r="M21">
        <v>6.9</v>
      </c>
      <c r="N21">
        <v>11.1</v>
      </c>
      <c r="O21">
        <v>0</v>
      </c>
      <c r="P21">
        <v>0</v>
      </c>
      <c r="Q21">
        <v>0</v>
      </c>
      <c r="R21">
        <v>0</v>
      </c>
      <c r="S21">
        <v>0</v>
      </c>
      <c r="T21">
        <v>4.5</v>
      </c>
      <c r="U21">
        <v>72.7</v>
      </c>
      <c r="V21">
        <v>116.7</v>
      </c>
      <c r="W21">
        <f t="shared" si="1"/>
        <v>21.700000000000003</v>
      </c>
    </row>
    <row r="22" spans="1:23" x14ac:dyDescent="0.25">
      <c r="A22">
        <f t="shared" si="0"/>
        <v>21</v>
      </c>
      <c r="B22">
        <v>13275</v>
      </c>
      <c r="C22" t="s">
        <v>602</v>
      </c>
      <c r="D22" t="s">
        <v>153</v>
      </c>
      <c r="E22" t="s">
        <v>426</v>
      </c>
      <c r="F22">
        <v>16</v>
      </c>
      <c r="G22">
        <v>73.900000000000006</v>
      </c>
      <c r="H22">
        <v>42</v>
      </c>
      <c r="I22">
        <v>56.8</v>
      </c>
      <c r="J22">
        <v>424</v>
      </c>
      <c r="K22">
        <v>5</v>
      </c>
      <c r="L22">
        <v>0</v>
      </c>
      <c r="M22">
        <v>5.7</v>
      </c>
      <c r="N22">
        <v>10.1</v>
      </c>
      <c r="O22">
        <v>0</v>
      </c>
      <c r="P22">
        <v>0</v>
      </c>
      <c r="Q22">
        <v>0</v>
      </c>
      <c r="R22">
        <v>0</v>
      </c>
      <c r="S22">
        <v>0</v>
      </c>
      <c r="T22">
        <v>4.5</v>
      </c>
      <c r="U22">
        <v>72.400000000000006</v>
      </c>
      <c r="V22">
        <v>114.4</v>
      </c>
      <c r="W22">
        <f t="shared" si="1"/>
        <v>19.400000000000006</v>
      </c>
    </row>
    <row r="23" spans="1:23" x14ac:dyDescent="0.25">
      <c r="A23">
        <f t="shared" si="0"/>
        <v>22</v>
      </c>
      <c r="B23">
        <v>852</v>
      </c>
      <c r="C23" t="s">
        <v>248</v>
      </c>
      <c r="D23" t="s">
        <v>153</v>
      </c>
      <c r="E23" t="s">
        <v>162</v>
      </c>
      <c r="F23">
        <v>16</v>
      </c>
      <c r="G23">
        <v>83.8</v>
      </c>
      <c r="H23">
        <v>49</v>
      </c>
      <c r="I23">
        <v>58.3</v>
      </c>
      <c r="J23">
        <v>531</v>
      </c>
      <c r="K23">
        <v>2</v>
      </c>
      <c r="L23">
        <v>0</v>
      </c>
      <c r="M23">
        <v>6.3</v>
      </c>
      <c r="N23">
        <v>10.8</v>
      </c>
      <c r="O23">
        <v>0</v>
      </c>
      <c r="P23">
        <v>0</v>
      </c>
      <c r="Q23">
        <v>0</v>
      </c>
      <c r="R23">
        <v>0</v>
      </c>
      <c r="S23">
        <v>0</v>
      </c>
      <c r="T23">
        <v>4.0999999999999996</v>
      </c>
      <c r="U23">
        <v>65.099999999999994</v>
      </c>
      <c r="V23">
        <v>114.1</v>
      </c>
      <c r="W23">
        <f t="shared" si="1"/>
        <v>19.099999999999994</v>
      </c>
    </row>
    <row r="24" spans="1:23" x14ac:dyDescent="0.25">
      <c r="A24">
        <f t="shared" si="0"/>
        <v>23</v>
      </c>
      <c r="B24">
        <v>8534</v>
      </c>
      <c r="C24" t="s">
        <v>573</v>
      </c>
      <c r="D24" t="s">
        <v>153</v>
      </c>
      <c r="E24" t="s">
        <v>397</v>
      </c>
      <c r="F24">
        <v>16</v>
      </c>
      <c r="G24">
        <v>50</v>
      </c>
      <c r="H24">
        <v>37</v>
      </c>
      <c r="I24">
        <v>74</v>
      </c>
      <c r="J24">
        <v>502</v>
      </c>
      <c r="K24">
        <v>3</v>
      </c>
      <c r="L24">
        <v>0</v>
      </c>
      <c r="M24">
        <v>10</v>
      </c>
      <c r="N24">
        <v>13.6</v>
      </c>
      <c r="O24">
        <v>0</v>
      </c>
      <c r="P24">
        <v>0</v>
      </c>
      <c r="Q24">
        <v>0</v>
      </c>
      <c r="R24">
        <v>1</v>
      </c>
      <c r="S24">
        <v>1</v>
      </c>
      <c r="T24">
        <v>4.0999999999999996</v>
      </c>
      <c r="U24">
        <v>66.2</v>
      </c>
      <c r="V24">
        <v>103.2</v>
      </c>
      <c r="W24">
        <f t="shared" si="1"/>
        <v>8.2000000000000028</v>
      </c>
    </row>
    <row r="25" spans="1:23" x14ac:dyDescent="0.25">
      <c r="A25">
        <f t="shared" si="0"/>
        <v>24</v>
      </c>
      <c r="B25">
        <v>16491</v>
      </c>
      <c r="C25" t="s">
        <v>574</v>
      </c>
      <c r="D25" t="s">
        <v>153</v>
      </c>
      <c r="E25" t="s">
        <v>397</v>
      </c>
      <c r="F25">
        <v>16</v>
      </c>
      <c r="G25">
        <v>47.5</v>
      </c>
      <c r="H25">
        <v>36</v>
      </c>
      <c r="I25">
        <v>75</v>
      </c>
      <c r="J25">
        <v>360</v>
      </c>
      <c r="K25">
        <v>5</v>
      </c>
      <c r="L25">
        <v>0</v>
      </c>
      <c r="M25">
        <v>7.5</v>
      </c>
      <c r="N25">
        <v>10</v>
      </c>
      <c r="O25">
        <v>0</v>
      </c>
      <c r="P25">
        <v>0</v>
      </c>
      <c r="Q25">
        <v>0</v>
      </c>
      <c r="R25">
        <v>0</v>
      </c>
      <c r="S25">
        <v>0</v>
      </c>
      <c r="T25">
        <v>4.0999999999999996</v>
      </c>
      <c r="U25">
        <v>66</v>
      </c>
      <c r="V25">
        <v>102</v>
      </c>
      <c r="W25">
        <f t="shared" si="1"/>
        <v>7</v>
      </c>
    </row>
    <row r="26" spans="1:23" x14ac:dyDescent="0.25">
      <c r="A26">
        <f t="shared" si="0"/>
        <v>25</v>
      </c>
      <c r="B26">
        <v>15239</v>
      </c>
      <c r="C26" t="s">
        <v>874</v>
      </c>
      <c r="D26" t="s">
        <v>153</v>
      </c>
      <c r="E26" t="s">
        <v>774</v>
      </c>
      <c r="F26">
        <v>16</v>
      </c>
      <c r="G26">
        <v>73</v>
      </c>
      <c r="H26">
        <v>41</v>
      </c>
      <c r="I26">
        <v>56.2</v>
      </c>
      <c r="J26">
        <v>432</v>
      </c>
      <c r="K26">
        <v>3</v>
      </c>
      <c r="L26">
        <v>0</v>
      </c>
      <c r="M26">
        <v>5.9</v>
      </c>
      <c r="N26">
        <v>10.5</v>
      </c>
      <c r="O26">
        <v>0</v>
      </c>
      <c r="P26">
        <v>0</v>
      </c>
      <c r="Q26">
        <v>0</v>
      </c>
      <c r="R26">
        <v>1</v>
      </c>
      <c r="S26">
        <v>1</v>
      </c>
      <c r="T26">
        <v>3.7</v>
      </c>
      <c r="U26">
        <v>59.2</v>
      </c>
      <c r="V26">
        <v>100.2</v>
      </c>
      <c r="W26">
        <f t="shared" si="1"/>
        <v>5.2000000000000028</v>
      </c>
    </row>
    <row r="27" spans="1:23" x14ac:dyDescent="0.25">
      <c r="A27">
        <f t="shared" si="0"/>
        <v>26</v>
      </c>
      <c r="B27">
        <v>16608</v>
      </c>
      <c r="C27" t="s">
        <v>877</v>
      </c>
      <c r="D27" t="s">
        <v>153</v>
      </c>
      <c r="E27" t="s">
        <v>779</v>
      </c>
      <c r="F27">
        <v>16</v>
      </c>
      <c r="G27">
        <v>41.4</v>
      </c>
      <c r="H27">
        <v>30</v>
      </c>
      <c r="I27">
        <v>73.2</v>
      </c>
      <c r="J27">
        <v>414</v>
      </c>
      <c r="K27">
        <v>5</v>
      </c>
      <c r="L27">
        <v>0</v>
      </c>
      <c r="M27">
        <v>10.1</v>
      </c>
      <c r="N27">
        <v>13.8</v>
      </c>
      <c r="O27">
        <v>0</v>
      </c>
      <c r="P27">
        <v>0</v>
      </c>
      <c r="Q27">
        <v>0</v>
      </c>
      <c r="R27">
        <v>1</v>
      </c>
      <c r="S27">
        <v>1</v>
      </c>
      <c r="T27">
        <v>4.3</v>
      </c>
      <c r="U27">
        <v>69.400000000000006</v>
      </c>
      <c r="V27">
        <v>99.4</v>
      </c>
      <c r="W27">
        <f t="shared" si="1"/>
        <v>4.4000000000000057</v>
      </c>
    </row>
    <row r="28" spans="1:23" x14ac:dyDescent="0.25">
      <c r="A28">
        <f t="shared" si="0"/>
        <v>27</v>
      </c>
      <c r="B28">
        <v>17754</v>
      </c>
      <c r="C28" t="s">
        <v>732</v>
      </c>
      <c r="D28" t="s">
        <v>153</v>
      </c>
      <c r="E28" t="s">
        <v>635</v>
      </c>
      <c r="F28">
        <v>16</v>
      </c>
      <c r="G28">
        <v>69.2</v>
      </c>
      <c r="H28">
        <v>40</v>
      </c>
      <c r="I28">
        <v>58</v>
      </c>
      <c r="J28">
        <v>441</v>
      </c>
      <c r="K28">
        <v>3</v>
      </c>
      <c r="L28">
        <v>0</v>
      </c>
      <c r="M28">
        <v>6.4</v>
      </c>
      <c r="N28">
        <v>11</v>
      </c>
      <c r="O28">
        <v>0</v>
      </c>
      <c r="P28">
        <v>0</v>
      </c>
      <c r="Q28">
        <v>0</v>
      </c>
      <c r="R28">
        <v>2</v>
      </c>
      <c r="S28">
        <v>2</v>
      </c>
      <c r="T28">
        <v>3.6</v>
      </c>
      <c r="U28">
        <v>58.1</v>
      </c>
      <c r="V28">
        <v>98.1</v>
      </c>
      <c r="W28">
        <f t="shared" si="1"/>
        <v>3.0999999999999943</v>
      </c>
    </row>
    <row r="29" spans="1:23" x14ac:dyDescent="0.25">
      <c r="A29">
        <f t="shared" si="0"/>
        <v>28</v>
      </c>
      <c r="B29">
        <v>15263</v>
      </c>
      <c r="C29" t="s">
        <v>870</v>
      </c>
      <c r="D29" t="s">
        <v>153</v>
      </c>
      <c r="E29" t="s">
        <v>772</v>
      </c>
      <c r="F29">
        <v>16</v>
      </c>
      <c r="G29">
        <v>51.2</v>
      </c>
      <c r="H29">
        <v>33</v>
      </c>
      <c r="I29">
        <v>64.7</v>
      </c>
      <c r="J29">
        <v>438</v>
      </c>
      <c r="K29">
        <v>3</v>
      </c>
      <c r="L29">
        <v>0</v>
      </c>
      <c r="M29">
        <v>8.6</v>
      </c>
      <c r="N29">
        <v>13.3</v>
      </c>
      <c r="O29">
        <v>0</v>
      </c>
      <c r="P29">
        <v>0</v>
      </c>
      <c r="Q29">
        <v>0</v>
      </c>
      <c r="R29">
        <v>0</v>
      </c>
      <c r="S29">
        <v>0</v>
      </c>
      <c r="T29">
        <v>3.9</v>
      </c>
      <c r="U29">
        <v>61.8</v>
      </c>
      <c r="V29">
        <v>94.8</v>
      </c>
      <c r="W29">
        <f t="shared" si="1"/>
        <v>-0.20000000000000284</v>
      </c>
    </row>
    <row r="30" spans="1:23" x14ac:dyDescent="0.25">
      <c r="A30">
        <f t="shared" si="0"/>
        <v>29</v>
      </c>
      <c r="B30">
        <v>15602</v>
      </c>
      <c r="C30" t="s">
        <v>581</v>
      </c>
      <c r="D30" t="s">
        <v>153</v>
      </c>
      <c r="E30" t="s">
        <v>404</v>
      </c>
      <c r="F30">
        <v>16</v>
      </c>
      <c r="G30">
        <v>59.2</v>
      </c>
      <c r="H30">
        <v>37</v>
      </c>
      <c r="I30">
        <v>62.7</v>
      </c>
      <c r="J30">
        <v>392</v>
      </c>
      <c r="K30">
        <v>3</v>
      </c>
      <c r="L30">
        <v>0</v>
      </c>
      <c r="M30">
        <v>6.6</v>
      </c>
      <c r="N30">
        <v>10.6</v>
      </c>
      <c r="O30">
        <v>0</v>
      </c>
      <c r="P30">
        <v>0</v>
      </c>
      <c r="Q30">
        <v>0</v>
      </c>
      <c r="R30">
        <v>0</v>
      </c>
      <c r="S30">
        <v>0</v>
      </c>
      <c r="T30">
        <v>3.6</v>
      </c>
      <c r="U30">
        <v>57.2</v>
      </c>
      <c r="V30">
        <v>94.2</v>
      </c>
      <c r="W30">
        <f t="shared" si="1"/>
        <v>-0.79999999999999716</v>
      </c>
    </row>
    <row r="31" spans="1:23" x14ac:dyDescent="0.25">
      <c r="A31">
        <f t="shared" si="0"/>
        <v>30</v>
      </c>
      <c r="B31">
        <v>13386</v>
      </c>
      <c r="C31" t="s">
        <v>591</v>
      </c>
      <c r="D31" t="s">
        <v>153</v>
      </c>
      <c r="E31" t="s">
        <v>417</v>
      </c>
      <c r="F31">
        <v>16</v>
      </c>
      <c r="G31">
        <v>59.5</v>
      </c>
      <c r="H31">
        <v>34</v>
      </c>
      <c r="I31">
        <v>56.7</v>
      </c>
      <c r="J31">
        <v>317</v>
      </c>
      <c r="K31">
        <v>4</v>
      </c>
      <c r="L31">
        <v>0</v>
      </c>
      <c r="M31">
        <v>5.3</v>
      </c>
      <c r="N31">
        <v>9.3000000000000007</v>
      </c>
      <c r="O31">
        <v>0</v>
      </c>
      <c r="P31">
        <v>0</v>
      </c>
      <c r="Q31">
        <v>0</v>
      </c>
      <c r="R31">
        <v>0</v>
      </c>
      <c r="S31">
        <v>0</v>
      </c>
      <c r="T31">
        <v>3.5</v>
      </c>
      <c r="U31">
        <v>55.7</v>
      </c>
      <c r="V31">
        <v>89.7</v>
      </c>
      <c r="W31">
        <f t="shared" si="1"/>
        <v>-5.2999999999999972</v>
      </c>
    </row>
    <row r="32" spans="1:23" x14ac:dyDescent="0.25">
      <c r="A32">
        <f t="shared" si="0"/>
        <v>31</v>
      </c>
      <c r="B32">
        <v>15866</v>
      </c>
      <c r="C32" t="s">
        <v>730</v>
      </c>
      <c r="D32" t="s">
        <v>153</v>
      </c>
      <c r="E32" t="s">
        <v>631</v>
      </c>
      <c r="F32">
        <v>16</v>
      </c>
      <c r="G32">
        <v>57.7</v>
      </c>
      <c r="H32">
        <v>37</v>
      </c>
      <c r="I32">
        <v>63.8</v>
      </c>
      <c r="J32">
        <v>339</v>
      </c>
      <c r="K32">
        <v>3</v>
      </c>
      <c r="L32">
        <v>0</v>
      </c>
      <c r="M32">
        <v>5.8</v>
      </c>
      <c r="N32">
        <v>9.1999999999999993</v>
      </c>
      <c r="O32">
        <v>0</v>
      </c>
      <c r="P32">
        <v>0</v>
      </c>
      <c r="Q32">
        <v>0</v>
      </c>
      <c r="R32">
        <v>0</v>
      </c>
      <c r="S32">
        <v>0</v>
      </c>
      <c r="T32">
        <v>3.2</v>
      </c>
      <c r="U32">
        <v>51.9</v>
      </c>
      <c r="V32">
        <v>88.9</v>
      </c>
      <c r="W32">
        <f t="shared" si="1"/>
        <v>-6.0999999999999943</v>
      </c>
    </row>
    <row r="33" spans="1:23" x14ac:dyDescent="0.25">
      <c r="A33">
        <f t="shared" si="0"/>
        <v>32</v>
      </c>
      <c r="B33">
        <v>16593</v>
      </c>
      <c r="C33" t="s">
        <v>878</v>
      </c>
      <c r="D33" t="s">
        <v>153</v>
      </c>
      <c r="E33" t="s">
        <v>779</v>
      </c>
      <c r="F33">
        <v>16</v>
      </c>
      <c r="G33">
        <v>42.3</v>
      </c>
      <c r="H33">
        <v>29</v>
      </c>
      <c r="I33">
        <v>69</v>
      </c>
      <c r="J33">
        <v>352</v>
      </c>
      <c r="K33">
        <v>4</v>
      </c>
      <c r="L33">
        <v>0</v>
      </c>
      <c r="M33">
        <v>8.4</v>
      </c>
      <c r="N33">
        <v>12.1</v>
      </c>
      <c r="O33">
        <v>0</v>
      </c>
      <c r="P33">
        <v>0</v>
      </c>
      <c r="Q33">
        <v>0</v>
      </c>
      <c r="R33">
        <v>0</v>
      </c>
      <c r="S33">
        <v>0</v>
      </c>
      <c r="T33">
        <v>3.7</v>
      </c>
      <c r="U33">
        <v>59.2</v>
      </c>
      <c r="V33">
        <v>88.2</v>
      </c>
      <c r="W33">
        <f t="shared" si="1"/>
        <v>-6.7999999999999972</v>
      </c>
    </row>
    <row r="34" spans="1:23" x14ac:dyDescent="0.25">
      <c r="A34">
        <f t="shared" ref="A34:A65" si="2">_xlfn.RANK.AVG(V34,$V$2:$V$131,0)</f>
        <v>33</v>
      </c>
      <c r="B34">
        <v>18032</v>
      </c>
      <c r="C34" t="s">
        <v>592</v>
      </c>
      <c r="D34" t="s">
        <v>153</v>
      </c>
      <c r="E34" t="s">
        <v>417</v>
      </c>
      <c r="F34">
        <v>16</v>
      </c>
      <c r="G34">
        <v>52.3</v>
      </c>
      <c r="H34">
        <v>39</v>
      </c>
      <c r="I34">
        <v>75</v>
      </c>
      <c r="J34">
        <v>365</v>
      </c>
      <c r="K34">
        <v>2</v>
      </c>
      <c r="L34">
        <v>0</v>
      </c>
      <c r="M34">
        <v>7</v>
      </c>
      <c r="N34">
        <v>9.4</v>
      </c>
      <c r="O34">
        <v>0</v>
      </c>
      <c r="P34">
        <v>0</v>
      </c>
      <c r="Q34">
        <v>0</v>
      </c>
      <c r="R34">
        <v>0</v>
      </c>
      <c r="S34">
        <v>0</v>
      </c>
      <c r="T34">
        <v>3</v>
      </c>
      <c r="U34">
        <v>48.5</v>
      </c>
      <c r="V34">
        <v>87.5</v>
      </c>
      <c r="W34">
        <f t="shared" si="1"/>
        <v>-7.5</v>
      </c>
    </row>
    <row r="35" spans="1:23" x14ac:dyDescent="0.25">
      <c r="A35">
        <f t="shared" si="2"/>
        <v>34</v>
      </c>
      <c r="B35">
        <v>14496</v>
      </c>
      <c r="C35" t="s">
        <v>875</v>
      </c>
      <c r="D35" t="s">
        <v>153</v>
      </c>
      <c r="E35" t="s">
        <v>774</v>
      </c>
      <c r="F35">
        <v>16</v>
      </c>
      <c r="G35">
        <v>51</v>
      </c>
      <c r="H35">
        <v>30</v>
      </c>
      <c r="I35">
        <v>58.8</v>
      </c>
      <c r="J35">
        <v>317</v>
      </c>
      <c r="K35">
        <v>4</v>
      </c>
      <c r="L35">
        <v>0</v>
      </c>
      <c r="M35">
        <v>6.2</v>
      </c>
      <c r="N35">
        <v>10.6</v>
      </c>
      <c r="O35">
        <v>0</v>
      </c>
      <c r="P35">
        <v>0</v>
      </c>
      <c r="Q35">
        <v>0</v>
      </c>
      <c r="R35">
        <v>0</v>
      </c>
      <c r="S35">
        <v>0</v>
      </c>
      <c r="T35">
        <v>3.5</v>
      </c>
      <c r="U35">
        <v>55.7</v>
      </c>
      <c r="V35">
        <v>85.7</v>
      </c>
      <c r="W35">
        <f t="shared" si="1"/>
        <v>-9.2999999999999972</v>
      </c>
    </row>
    <row r="36" spans="1:23" x14ac:dyDescent="0.25">
      <c r="A36" s="11">
        <f t="shared" si="2"/>
        <v>35</v>
      </c>
      <c r="B36" s="11">
        <v>12861</v>
      </c>
      <c r="C36" s="11" t="s">
        <v>597</v>
      </c>
      <c r="D36" s="11" t="s">
        <v>153</v>
      </c>
      <c r="E36" s="11" t="s">
        <v>421</v>
      </c>
      <c r="F36" s="11">
        <v>16</v>
      </c>
      <c r="G36" s="11">
        <v>53.1</v>
      </c>
      <c r="H36" s="11">
        <v>33</v>
      </c>
      <c r="I36" s="11">
        <v>62.3</v>
      </c>
      <c r="J36" s="11">
        <v>386</v>
      </c>
      <c r="K36" s="11">
        <v>2</v>
      </c>
      <c r="L36" s="11">
        <v>0</v>
      </c>
      <c r="M36" s="11">
        <v>7.3</v>
      </c>
      <c r="N36" s="11">
        <v>11.7</v>
      </c>
      <c r="O36" s="11">
        <v>0</v>
      </c>
      <c r="P36" s="11">
        <v>0</v>
      </c>
      <c r="Q36" s="11">
        <v>0</v>
      </c>
      <c r="R36" s="11">
        <v>0</v>
      </c>
      <c r="S36" s="11">
        <v>0</v>
      </c>
      <c r="T36" s="11">
        <v>3.2</v>
      </c>
      <c r="U36" s="11">
        <v>50.6</v>
      </c>
      <c r="V36" s="11">
        <v>83.6</v>
      </c>
      <c r="W36" s="11">
        <f t="shared" si="1"/>
        <v>-11.400000000000006</v>
      </c>
    </row>
    <row r="37" spans="1:23" x14ac:dyDescent="0.25">
      <c r="A37">
        <f t="shared" si="2"/>
        <v>36</v>
      </c>
      <c r="B37">
        <v>15072</v>
      </c>
      <c r="C37" t="s">
        <v>741</v>
      </c>
      <c r="D37" t="s">
        <v>153</v>
      </c>
      <c r="E37" t="s">
        <v>644</v>
      </c>
      <c r="F37">
        <v>16</v>
      </c>
      <c r="G37">
        <v>56.4</v>
      </c>
      <c r="H37">
        <v>34</v>
      </c>
      <c r="I37">
        <v>60.7</v>
      </c>
      <c r="J37">
        <v>323</v>
      </c>
      <c r="K37">
        <v>2</v>
      </c>
      <c r="L37">
        <v>0</v>
      </c>
      <c r="M37">
        <v>5.8</v>
      </c>
      <c r="N37">
        <v>9.5</v>
      </c>
      <c r="O37">
        <v>0</v>
      </c>
      <c r="P37">
        <v>0</v>
      </c>
      <c r="Q37">
        <v>0</v>
      </c>
      <c r="R37">
        <v>0</v>
      </c>
      <c r="S37">
        <v>0</v>
      </c>
      <c r="T37">
        <v>2.8</v>
      </c>
      <c r="U37">
        <v>44.3</v>
      </c>
      <c r="V37">
        <v>78.3</v>
      </c>
      <c r="W37">
        <f t="shared" si="1"/>
        <v>-16.700000000000003</v>
      </c>
    </row>
    <row r="38" spans="1:23" x14ac:dyDescent="0.25">
      <c r="A38">
        <f t="shared" si="2"/>
        <v>37</v>
      </c>
      <c r="B38">
        <v>16903</v>
      </c>
      <c r="C38" t="s">
        <v>603</v>
      </c>
      <c r="D38" t="s">
        <v>153</v>
      </c>
      <c r="E38" t="s">
        <v>426</v>
      </c>
      <c r="F38">
        <v>16</v>
      </c>
      <c r="G38">
        <v>51.8</v>
      </c>
      <c r="H38">
        <v>36</v>
      </c>
      <c r="I38">
        <v>69.2</v>
      </c>
      <c r="J38">
        <v>350</v>
      </c>
      <c r="K38">
        <v>1</v>
      </c>
      <c r="L38">
        <v>0</v>
      </c>
      <c r="M38">
        <v>6.7</v>
      </c>
      <c r="N38">
        <v>9.6999999999999993</v>
      </c>
      <c r="O38">
        <v>0</v>
      </c>
      <c r="P38">
        <v>0</v>
      </c>
      <c r="Q38">
        <v>0</v>
      </c>
      <c r="R38">
        <v>0</v>
      </c>
      <c r="S38">
        <v>0</v>
      </c>
      <c r="T38">
        <v>2.6</v>
      </c>
      <c r="U38">
        <v>41</v>
      </c>
      <c r="V38">
        <v>77</v>
      </c>
      <c r="W38">
        <f t="shared" si="1"/>
        <v>-18</v>
      </c>
    </row>
    <row r="39" spans="1:23" x14ac:dyDescent="0.25">
      <c r="A39">
        <f t="shared" si="2"/>
        <v>38</v>
      </c>
      <c r="B39">
        <v>15247</v>
      </c>
      <c r="C39" t="s">
        <v>152</v>
      </c>
      <c r="D39" t="s">
        <v>153</v>
      </c>
      <c r="E39" t="s">
        <v>135</v>
      </c>
      <c r="F39">
        <v>16</v>
      </c>
      <c r="G39">
        <v>34.299999999999997</v>
      </c>
      <c r="H39">
        <v>25</v>
      </c>
      <c r="I39">
        <v>73.5</v>
      </c>
      <c r="J39">
        <v>313</v>
      </c>
      <c r="K39">
        <v>3</v>
      </c>
      <c r="L39">
        <v>0</v>
      </c>
      <c r="M39">
        <v>9.1999999999999993</v>
      </c>
      <c r="N39">
        <v>12.5</v>
      </c>
      <c r="O39">
        <v>0</v>
      </c>
      <c r="P39">
        <v>0</v>
      </c>
      <c r="Q39">
        <v>0</v>
      </c>
      <c r="R39">
        <v>0</v>
      </c>
      <c r="S39">
        <v>0</v>
      </c>
      <c r="T39">
        <v>3.1</v>
      </c>
      <c r="U39">
        <v>49.3</v>
      </c>
      <c r="V39">
        <v>74.3</v>
      </c>
      <c r="W39">
        <f t="shared" si="1"/>
        <v>-20.700000000000003</v>
      </c>
    </row>
    <row r="40" spans="1:23" x14ac:dyDescent="0.25">
      <c r="A40">
        <f t="shared" si="2"/>
        <v>39</v>
      </c>
      <c r="B40">
        <v>14985</v>
      </c>
      <c r="C40" t="s">
        <v>577</v>
      </c>
      <c r="D40" t="s">
        <v>153</v>
      </c>
      <c r="E40" t="s">
        <v>400</v>
      </c>
      <c r="F40">
        <v>16</v>
      </c>
      <c r="G40">
        <v>40</v>
      </c>
      <c r="H40">
        <v>28</v>
      </c>
      <c r="I40">
        <v>70</v>
      </c>
      <c r="J40">
        <v>322</v>
      </c>
      <c r="K40">
        <v>2</v>
      </c>
      <c r="L40">
        <v>0</v>
      </c>
      <c r="M40">
        <v>8</v>
      </c>
      <c r="N40">
        <v>11.5</v>
      </c>
      <c r="O40">
        <v>0</v>
      </c>
      <c r="P40">
        <v>0</v>
      </c>
      <c r="Q40">
        <v>0</v>
      </c>
      <c r="R40">
        <v>0</v>
      </c>
      <c r="S40">
        <v>0</v>
      </c>
      <c r="T40">
        <v>2.8</v>
      </c>
      <c r="U40">
        <v>44.2</v>
      </c>
      <c r="V40">
        <v>72.2</v>
      </c>
      <c r="W40">
        <f t="shared" si="1"/>
        <v>-22.799999999999997</v>
      </c>
    </row>
    <row r="41" spans="1:23" x14ac:dyDescent="0.25">
      <c r="A41">
        <f t="shared" si="2"/>
        <v>40</v>
      </c>
      <c r="B41">
        <v>15082</v>
      </c>
      <c r="C41" t="s">
        <v>374</v>
      </c>
      <c r="D41" t="s">
        <v>153</v>
      </c>
      <c r="E41" t="s">
        <v>288</v>
      </c>
      <c r="F41">
        <v>16</v>
      </c>
      <c r="G41">
        <v>46</v>
      </c>
      <c r="H41">
        <v>26</v>
      </c>
      <c r="I41">
        <v>56.5</v>
      </c>
      <c r="J41">
        <v>269</v>
      </c>
      <c r="K41">
        <v>4</v>
      </c>
      <c r="L41">
        <v>0</v>
      </c>
      <c r="M41">
        <v>5.8</v>
      </c>
      <c r="N41">
        <v>10.3</v>
      </c>
      <c r="O41">
        <v>0</v>
      </c>
      <c r="P41">
        <v>0</v>
      </c>
      <c r="Q41">
        <v>0</v>
      </c>
      <c r="R41">
        <v>3</v>
      </c>
      <c r="S41">
        <v>3</v>
      </c>
      <c r="T41">
        <v>2.8</v>
      </c>
      <c r="U41">
        <v>44.9</v>
      </c>
      <c r="V41">
        <v>70.900000000000006</v>
      </c>
      <c r="W41">
        <f t="shared" si="1"/>
        <v>-24.099999999999994</v>
      </c>
    </row>
    <row r="42" spans="1:23" x14ac:dyDescent="0.25">
      <c r="A42">
        <f t="shared" si="2"/>
        <v>41</v>
      </c>
      <c r="B42">
        <v>16878</v>
      </c>
      <c r="C42" t="s">
        <v>876</v>
      </c>
      <c r="D42" t="s">
        <v>153</v>
      </c>
      <c r="E42" t="s">
        <v>774</v>
      </c>
      <c r="F42">
        <v>16</v>
      </c>
      <c r="G42">
        <v>42.3</v>
      </c>
      <c r="H42">
        <v>30</v>
      </c>
      <c r="I42">
        <v>71.400000000000006</v>
      </c>
      <c r="J42">
        <v>340</v>
      </c>
      <c r="K42">
        <v>1</v>
      </c>
      <c r="L42">
        <v>0</v>
      </c>
      <c r="M42">
        <v>8.1</v>
      </c>
      <c r="N42">
        <v>11.3</v>
      </c>
      <c r="O42">
        <v>0</v>
      </c>
      <c r="P42">
        <v>0</v>
      </c>
      <c r="Q42">
        <v>0</v>
      </c>
      <c r="R42">
        <v>0</v>
      </c>
      <c r="S42">
        <v>0</v>
      </c>
      <c r="T42">
        <v>2.5</v>
      </c>
      <c r="U42">
        <v>40</v>
      </c>
      <c r="V42">
        <v>70</v>
      </c>
      <c r="W42">
        <f t="shared" si="1"/>
        <v>-25</v>
      </c>
    </row>
    <row r="43" spans="1:23" x14ac:dyDescent="0.25">
      <c r="A43">
        <f t="shared" si="2"/>
        <v>42</v>
      </c>
      <c r="B43">
        <v>11026</v>
      </c>
      <c r="C43" t="s">
        <v>154</v>
      </c>
      <c r="D43" t="s">
        <v>153</v>
      </c>
      <c r="E43" t="s">
        <v>135</v>
      </c>
      <c r="F43">
        <v>16</v>
      </c>
      <c r="G43">
        <v>51.9</v>
      </c>
      <c r="H43">
        <v>29</v>
      </c>
      <c r="I43">
        <v>55.8</v>
      </c>
      <c r="J43">
        <v>282</v>
      </c>
      <c r="K43">
        <v>2</v>
      </c>
      <c r="L43">
        <v>0</v>
      </c>
      <c r="M43">
        <v>5.4</v>
      </c>
      <c r="N43">
        <v>9.6999999999999993</v>
      </c>
      <c r="O43">
        <v>0</v>
      </c>
      <c r="P43">
        <v>0</v>
      </c>
      <c r="Q43">
        <v>0</v>
      </c>
      <c r="R43">
        <v>0</v>
      </c>
      <c r="S43">
        <v>0</v>
      </c>
      <c r="T43">
        <v>2.5</v>
      </c>
      <c r="U43">
        <v>40.200000000000003</v>
      </c>
      <c r="V43">
        <v>69.2</v>
      </c>
      <c r="W43">
        <f t="shared" si="1"/>
        <v>-25.799999999999997</v>
      </c>
    </row>
    <row r="44" spans="1:23" x14ac:dyDescent="0.25">
      <c r="A44">
        <f t="shared" si="2"/>
        <v>43</v>
      </c>
      <c r="B44">
        <v>16920</v>
      </c>
      <c r="C44" t="s">
        <v>748</v>
      </c>
      <c r="D44" t="s">
        <v>153</v>
      </c>
      <c r="E44" t="s">
        <v>648</v>
      </c>
      <c r="F44">
        <v>16</v>
      </c>
      <c r="G44">
        <v>38.6</v>
      </c>
      <c r="H44">
        <v>28</v>
      </c>
      <c r="I44">
        <v>71.8</v>
      </c>
      <c r="J44">
        <v>291</v>
      </c>
      <c r="K44">
        <v>2</v>
      </c>
      <c r="L44">
        <v>0</v>
      </c>
      <c r="M44">
        <v>7.5</v>
      </c>
      <c r="N44">
        <v>10.4</v>
      </c>
      <c r="O44">
        <v>0</v>
      </c>
      <c r="P44">
        <v>0</v>
      </c>
      <c r="Q44">
        <v>0</v>
      </c>
      <c r="R44">
        <v>0</v>
      </c>
      <c r="S44">
        <v>0</v>
      </c>
      <c r="T44">
        <v>2.6</v>
      </c>
      <c r="U44">
        <v>41.1</v>
      </c>
      <c r="V44">
        <v>69.099999999999994</v>
      </c>
      <c r="W44">
        <f t="shared" si="1"/>
        <v>-25.900000000000006</v>
      </c>
    </row>
    <row r="45" spans="1:23" x14ac:dyDescent="0.25">
      <c r="A45">
        <f t="shared" si="2"/>
        <v>44.5</v>
      </c>
      <c r="B45">
        <v>16111</v>
      </c>
      <c r="C45" t="s">
        <v>367</v>
      </c>
      <c r="D45" t="s">
        <v>153</v>
      </c>
      <c r="E45" t="s">
        <v>279</v>
      </c>
      <c r="F45">
        <v>16</v>
      </c>
      <c r="G45">
        <v>42.1</v>
      </c>
      <c r="H45">
        <v>27</v>
      </c>
      <c r="I45">
        <v>64.3</v>
      </c>
      <c r="J45">
        <v>283</v>
      </c>
      <c r="K45">
        <v>2</v>
      </c>
      <c r="L45">
        <v>0</v>
      </c>
      <c r="M45">
        <v>6.7</v>
      </c>
      <c r="N45">
        <v>10.5</v>
      </c>
      <c r="O45">
        <v>0</v>
      </c>
      <c r="P45">
        <v>0</v>
      </c>
      <c r="Q45">
        <v>0</v>
      </c>
      <c r="R45">
        <v>0</v>
      </c>
      <c r="S45">
        <v>0</v>
      </c>
      <c r="T45">
        <v>2.5</v>
      </c>
      <c r="U45">
        <v>40.299999999999997</v>
      </c>
      <c r="V45">
        <v>67.3</v>
      </c>
      <c r="W45">
        <f t="shared" si="1"/>
        <v>-27.700000000000003</v>
      </c>
    </row>
    <row r="46" spans="1:23" x14ac:dyDescent="0.25">
      <c r="A46">
        <f t="shared" si="2"/>
        <v>44.5</v>
      </c>
      <c r="B46">
        <v>16846</v>
      </c>
      <c r="C46" t="s">
        <v>368</v>
      </c>
      <c r="D46" t="s">
        <v>153</v>
      </c>
      <c r="E46" t="s">
        <v>279</v>
      </c>
      <c r="F46">
        <v>16</v>
      </c>
      <c r="G46">
        <v>41.9</v>
      </c>
      <c r="H46">
        <v>27</v>
      </c>
      <c r="I46">
        <v>64.3</v>
      </c>
      <c r="J46">
        <v>283</v>
      </c>
      <c r="K46">
        <v>2</v>
      </c>
      <c r="L46">
        <v>0</v>
      </c>
      <c r="M46">
        <v>6.7</v>
      </c>
      <c r="N46">
        <v>10.5</v>
      </c>
      <c r="O46">
        <v>0</v>
      </c>
      <c r="P46">
        <v>0</v>
      </c>
      <c r="Q46">
        <v>0</v>
      </c>
      <c r="R46">
        <v>0</v>
      </c>
      <c r="S46">
        <v>0</v>
      </c>
      <c r="T46">
        <v>2.5</v>
      </c>
      <c r="U46">
        <v>40.299999999999997</v>
      </c>
      <c r="V46">
        <v>67.3</v>
      </c>
      <c r="W46">
        <f t="shared" si="1"/>
        <v>-27.700000000000003</v>
      </c>
    </row>
    <row r="47" spans="1:23" x14ac:dyDescent="0.25">
      <c r="A47">
        <f t="shared" si="2"/>
        <v>46</v>
      </c>
      <c r="B47">
        <v>3061</v>
      </c>
      <c r="C47" t="s">
        <v>585</v>
      </c>
      <c r="D47" t="s">
        <v>153</v>
      </c>
      <c r="E47" t="s">
        <v>408</v>
      </c>
      <c r="F47">
        <v>16</v>
      </c>
      <c r="G47">
        <v>45</v>
      </c>
      <c r="H47">
        <v>26</v>
      </c>
      <c r="I47">
        <v>57.8</v>
      </c>
      <c r="J47">
        <v>288</v>
      </c>
      <c r="K47">
        <v>2</v>
      </c>
      <c r="L47">
        <v>0</v>
      </c>
      <c r="M47">
        <v>6.4</v>
      </c>
      <c r="N47">
        <v>11.1</v>
      </c>
      <c r="O47">
        <v>0</v>
      </c>
      <c r="P47">
        <v>0</v>
      </c>
      <c r="Q47">
        <v>0</v>
      </c>
      <c r="R47">
        <v>0</v>
      </c>
      <c r="S47">
        <v>0</v>
      </c>
      <c r="T47">
        <v>2.6</v>
      </c>
      <c r="U47">
        <v>40.799999999999997</v>
      </c>
      <c r="V47">
        <v>66.8</v>
      </c>
      <c r="W47">
        <f t="shared" si="1"/>
        <v>-28.200000000000003</v>
      </c>
    </row>
    <row r="48" spans="1:23" x14ac:dyDescent="0.25">
      <c r="A48">
        <f t="shared" si="2"/>
        <v>47</v>
      </c>
      <c r="B48">
        <v>16853</v>
      </c>
      <c r="C48" t="s">
        <v>376</v>
      </c>
      <c r="D48" t="s">
        <v>153</v>
      </c>
      <c r="E48" t="s">
        <v>292</v>
      </c>
      <c r="F48">
        <v>16</v>
      </c>
      <c r="G48">
        <v>37.299999999999997</v>
      </c>
      <c r="H48">
        <v>27</v>
      </c>
      <c r="I48">
        <v>73</v>
      </c>
      <c r="J48">
        <v>268</v>
      </c>
      <c r="K48">
        <v>2</v>
      </c>
      <c r="L48">
        <v>0</v>
      </c>
      <c r="M48">
        <v>7.2</v>
      </c>
      <c r="N48">
        <v>9.9</v>
      </c>
      <c r="O48">
        <v>0</v>
      </c>
      <c r="P48">
        <v>0</v>
      </c>
      <c r="Q48">
        <v>0</v>
      </c>
      <c r="R48">
        <v>0</v>
      </c>
      <c r="S48">
        <v>0</v>
      </c>
      <c r="T48">
        <v>2.4</v>
      </c>
      <c r="U48">
        <v>38.799999999999997</v>
      </c>
      <c r="V48">
        <v>65.8</v>
      </c>
      <c r="W48">
        <f t="shared" si="1"/>
        <v>-29.200000000000003</v>
      </c>
    </row>
    <row r="49" spans="1:23" x14ac:dyDescent="0.25">
      <c r="A49">
        <f t="shared" si="2"/>
        <v>48</v>
      </c>
      <c r="B49">
        <v>17975</v>
      </c>
      <c r="C49" t="s">
        <v>866</v>
      </c>
      <c r="D49" t="s">
        <v>153</v>
      </c>
      <c r="E49" t="s">
        <v>768</v>
      </c>
      <c r="F49">
        <v>16</v>
      </c>
      <c r="G49">
        <v>40.9</v>
      </c>
      <c r="H49">
        <v>28</v>
      </c>
      <c r="I49">
        <v>68.3</v>
      </c>
      <c r="J49">
        <v>268</v>
      </c>
      <c r="K49">
        <v>2</v>
      </c>
      <c r="L49">
        <v>0</v>
      </c>
      <c r="M49">
        <v>6.5</v>
      </c>
      <c r="N49">
        <v>9.6</v>
      </c>
      <c r="O49">
        <v>0</v>
      </c>
      <c r="P49">
        <v>0</v>
      </c>
      <c r="Q49">
        <v>0</v>
      </c>
      <c r="R49">
        <v>1</v>
      </c>
      <c r="S49">
        <v>1</v>
      </c>
      <c r="T49">
        <v>2.2999999999999998</v>
      </c>
      <c r="U49">
        <v>36.799999999999997</v>
      </c>
      <c r="V49">
        <v>64.8</v>
      </c>
      <c r="W49">
        <f t="shared" si="1"/>
        <v>-30.200000000000003</v>
      </c>
    </row>
    <row r="50" spans="1:23" x14ac:dyDescent="0.25">
      <c r="A50">
        <f t="shared" si="2"/>
        <v>49</v>
      </c>
      <c r="B50">
        <v>14866</v>
      </c>
      <c r="C50" t="s">
        <v>257</v>
      </c>
      <c r="D50" t="s">
        <v>153</v>
      </c>
      <c r="E50" t="s">
        <v>172</v>
      </c>
      <c r="F50">
        <v>16</v>
      </c>
      <c r="G50">
        <v>31.1</v>
      </c>
      <c r="H50">
        <v>23</v>
      </c>
      <c r="I50">
        <v>74.2</v>
      </c>
      <c r="J50">
        <v>291</v>
      </c>
      <c r="K50">
        <v>2</v>
      </c>
      <c r="L50">
        <v>0</v>
      </c>
      <c r="M50">
        <v>9.4</v>
      </c>
      <c r="N50">
        <v>12.7</v>
      </c>
      <c r="O50">
        <v>0</v>
      </c>
      <c r="P50">
        <v>0</v>
      </c>
      <c r="Q50">
        <v>0</v>
      </c>
      <c r="R50">
        <v>0</v>
      </c>
      <c r="S50">
        <v>0</v>
      </c>
      <c r="T50">
        <v>2.6</v>
      </c>
      <c r="U50">
        <v>41.1</v>
      </c>
      <c r="V50">
        <v>64.099999999999994</v>
      </c>
      <c r="W50">
        <f t="shared" si="1"/>
        <v>-30.900000000000006</v>
      </c>
    </row>
    <row r="51" spans="1:23" x14ac:dyDescent="0.25">
      <c r="A51">
        <f t="shared" si="2"/>
        <v>50</v>
      </c>
      <c r="B51">
        <v>16933</v>
      </c>
      <c r="C51" t="s">
        <v>588</v>
      </c>
      <c r="D51" t="s">
        <v>153</v>
      </c>
      <c r="E51" t="s">
        <v>411</v>
      </c>
      <c r="F51">
        <v>16</v>
      </c>
      <c r="G51">
        <v>47.8</v>
      </c>
      <c r="H51">
        <v>27</v>
      </c>
      <c r="I51">
        <v>56.2</v>
      </c>
      <c r="J51">
        <v>243</v>
      </c>
      <c r="K51">
        <v>2</v>
      </c>
      <c r="L51">
        <v>0</v>
      </c>
      <c r="M51">
        <v>5.0999999999999996</v>
      </c>
      <c r="N51">
        <v>9</v>
      </c>
      <c r="O51">
        <v>0</v>
      </c>
      <c r="P51">
        <v>0</v>
      </c>
      <c r="Q51">
        <v>0</v>
      </c>
      <c r="R51">
        <v>0</v>
      </c>
      <c r="S51">
        <v>0</v>
      </c>
      <c r="T51">
        <v>2.2999999999999998</v>
      </c>
      <c r="U51">
        <v>36.299999999999997</v>
      </c>
      <c r="V51">
        <v>63.3</v>
      </c>
      <c r="W51">
        <f t="shared" si="1"/>
        <v>-31.700000000000003</v>
      </c>
    </row>
    <row r="52" spans="1:23" x14ac:dyDescent="0.25">
      <c r="A52">
        <f t="shared" si="2"/>
        <v>51</v>
      </c>
      <c r="B52">
        <v>14445</v>
      </c>
      <c r="C52" t="s">
        <v>604</v>
      </c>
      <c r="D52" t="s">
        <v>153</v>
      </c>
      <c r="E52" t="s">
        <v>426</v>
      </c>
      <c r="F52">
        <v>16</v>
      </c>
      <c r="G52">
        <v>31.5</v>
      </c>
      <c r="H52">
        <v>23</v>
      </c>
      <c r="I52">
        <v>71.900000000000006</v>
      </c>
      <c r="J52">
        <v>216</v>
      </c>
      <c r="K52">
        <v>3</v>
      </c>
      <c r="L52">
        <v>0</v>
      </c>
      <c r="M52">
        <v>6.8</v>
      </c>
      <c r="N52">
        <v>9.4</v>
      </c>
      <c r="O52">
        <v>0</v>
      </c>
      <c r="P52">
        <v>0</v>
      </c>
      <c r="Q52">
        <v>0</v>
      </c>
      <c r="R52">
        <v>0</v>
      </c>
      <c r="S52">
        <v>0</v>
      </c>
      <c r="T52">
        <v>2.5</v>
      </c>
      <c r="U52">
        <v>39.6</v>
      </c>
      <c r="V52">
        <v>62.6</v>
      </c>
      <c r="W52">
        <f t="shared" si="1"/>
        <v>-32.4</v>
      </c>
    </row>
    <row r="53" spans="1:23" x14ac:dyDescent="0.25">
      <c r="A53">
        <f t="shared" si="2"/>
        <v>52</v>
      </c>
      <c r="B53">
        <v>3</v>
      </c>
      <c r="C53" t="s">
        <v>882</v>
      </c>
      <c r="D53" t="s">
        <v>153</v>
      </c>
      <c r="E53" t="s">
        <v>783</v>
      </c>
      <c r="F53">
        <v>16</v>
      </c>
      <c r="G53">
        <v>27.4</v>
      </c>
      <c r="H53">
        <v>19</v>
      </c>
      <c r="I53">
        <v>70.400000000000006</v>
      </c>
      <c r="J53">
        <v>194</v>
      </c>
      <c r="K53">
        <v>4</v>
      </c>
      <c r="L53">
        <v>0</v>
      </c>
      <c r="M53">
        <v>7.2</v>
      </c>
      <c r="N53">
        <v>10.199999999999999</v>
      </c>
      <c r="O53">
        <v>0</v>
      </c>
      <c r="P53">
        <v>0</v>
      </c>
      <c r="Q53">
        <v>0</v>
      </c>
      <c r="R53">
        <v>0</v>
      </c>
      <c r="S53">
        <v>0</v>
      </c>
      <c r="T53">
        <v>2.7</v>
      </c>
      <c r="U53">
        <v>43.4</v>
      </c>
      <c r="V53">
        <v>62.4</v>
      </c>
      <c r="W53">
        <f t="shared" si="1"/>
        <v>-32.6</v>
      </c>
    </row>
    <row r="54" spans="1:23" x14ac:dyDescent="0.25">
      <c r="A54">
        <f t="shared" si="2"/>
        <v>53</v>
      </c>
      <c r="B54">
        <v>13406</v>
      </c>
      <c r="C54" t="s">
        <v>363</v>
      </c>
      <c r="D54" t="s">
        <v>153</v>
      </c>
      <c r="E54" t="s">
        <v>273</v>
      </c>
      <c r="F54">
        <v>16</v>
      </c>
      <c r="G54">
        <v>38.5</v>
      </c>
      <c r="H54">
        <v>26</v>
      </c>
      <c r="I54">
        <v>68.400000000000006</v>
      </c>
      <c r="J54">
        <v>243</v>
      </c>
      <c r="K54">
        <v>2</v>
      </c>
      <c r="L54">
        <v>0</v>
      </c>
      <c r="M54">
        <v>6.4</v>
      </c>
      <c r="N54">
        <v>9.3000000000000007</v>
      </c>
      <c r="O54">
        <v>0</v>
      </c>
      <c r="P54">
        <v>0</v>
      </c>
      <c r="Q54">
        <v>0</v>
      </c>
      <c r="R54">
        <v>0</v>
      </c>
      <c r="S54">
        <v>0</v>
      </c>
      <c r="T54">
        <v>2.2999999999999998</v>
      </c>
      <c r="U54">
        <v>36.299999999999997</v>
      </c>
      <c r="V54">
        <v>62.3</v>
      </c>
      <c r="W54">
        <f t="shared" si="1"/>
        <v>-32.700000000000003</v>
      </c>
    </row>
    <row r="55" spans="1:23" x14ac:dyDescent="0.25">
      <c r="A55">
        <f t="shared" si="2"/>
        <v>54.5</v>
      </c>
      <c r="B55">
        <v>11555</v>
      </c>
      <c r="C55" t="s">
        <v>258</v>
      </c>
      <c r="D55" t="s">
        <v>153</v>
      </c>
      <c r="E55" t="s">
        <v>172</v>
      </c>
      <c r="F55">
        <v>16</v>
      </c>
      <c r="G55">
        <v>33.799999999999997</v>
      </c>
      <c r="H55">
        <v>23</v>
      </c>
      <c r="I55">
        <v>67.599999999999994</v>
      </c>
      <c r="J55">
        <v>269</v>
      </c>
      <c r="K55">
        <v>2</v>
      </c>
      <c r="L55">
        <v>0</v>
      </c>
      <c r="M55">
        <v>7.9</v>
      </c>
      <c r="N55">
        <v>11.7</v>
      </c>
      <c r="O55">
        <v>0</v>
      </c>
      <c r="P55">
        <v>0</v>
      </c>
      <c r="Q55">
        <v>0</v>
      </c>
      <c r="R55">
        <v>0</v>
      </c>
      <c r="S55">
        <v>0</v>
      </c>
      <c r="T55">
        <v>2.4</v>
      </c>
      <c r="U55">
        <v>38.9</v>
      </c>
      <c r="V55">
        <v>61.9</v>
      </c>
      <c r="W55">
        <f t="shared" si="1"/>
        <v>-33.1</v>
      </c>
    </row>
    <row r="56" spans="1:23" x14ac:dyDescent="0.25">
      <c r="A56">
        <f t="shared" si="2"/>
        <v>54.5</v>
      </c>
      <c r="B56">
        <v>16057</v>
      </c>
      <c r="C56" t="s">
        <v>736</v>
      </c>
      <c r="D56" t="s">
        <v>153</v>
      </c>
      <c r="E56" t="s">
        <v>639</v>
      </c>
      <c r="F56">
        <v>16</v>
      </c>
      <c r="G56">
        <v>37.700000000000003</v>
      </c>
      <c r="H56">
        <v>26</v>
      </c>
      <c r="I56">
        <v>68.400000000000006</v>
      </c>
      <c r="J56">
        <v>239</v>
      </c>
      <c r="K56">
        <v>2</v>
      </c>
      <c r="L56">
        <v>0</v>
      </c>
      <c r="M56">
        <v>6.3</v>
      </c>
      <c r="N56">
        <v>9.1999999999999993</v>
      </c>
      <c r="O56">
        <v>0</v>
      </c>
      <c r="P56">
        <v>0</v>
      </c>
      <c r="Q56">
        <v>0</v>
      </c>
      <c r="R56">
        <v>0</v>
      </c>
      <c r="S56">
        <v>0</v>
      </c>
      <c r="T56">
        <v>2.2000000000000002</v>
      </c>
      <c r="U56">
        <v>35.9</v>
      </c>
      <c r="V56">
        <v>61.9</v>
      </c>
      <c r="W56">
        <f t="shared" si="1"/>
        <v>-33.1</v>
      </c>
    </row>
    <row r="57" spans="1:23" x14ac:dyDescent="0.25">
      <c r="A57">
        <f t="shared" si="2"/>
        <v>56</v>
      </c>
      <c r="B57">
        <v>12777</v>
      </c>
      <c r="C57" t="s">
        <v>742</v>
      </c>
      <c r="D57" t="s">
        <v>153</v>
      </c>
      <c r="E57" t="s">
        <v>644</v>
      </c>
      <c r="F57">
        <v>16</v>
      </c>
      <c r="G57">
        <v>41.8</v>
      </c>
      <c r="H57">
        <v>25</v>
      </c>
      <c r="I57">
        <v>59.5</v>
      </c>
      <c r="J57">
        <v>245</v>
      </c>
      <c r="K57">
        <v>2</v>
      </c>
      <c r="L57">
        <v>0</v>
      </c>
      <c r="M57">
        <v>5.8</v>
      </c>
      <c r="N57">
        <v>9.8000000000000007</v>
      </c>
      <c r="O57">
        <v>0</v>
      </c>
      <c r="P57">
        <v>0</v>
      </c>
      <c r="Q57">
        <v>0</v>
      </c>
      <c r="R57">
        <v>0</v>
      </c>
      <c r="S57">
        <v>0</v>
      </c>
      <c r="T57">
        <v>2.2999999999999998</v>
      </c>
      <c r="U57">
        <v>36.5</v>
      </c>
      <c r="V57">
        <v>61.5</v>
      </c>
      <c r="W57">
        <f t="shared" si="1"/>
        <v>-33.5</v>
      </c>
    </row>
    <row r="58" spans="1:23" x14ac:dyDescent="0.25">
      <c r="A58">
        <f t="shared" si="2"/>
        <v>57</v>
      </c>
      <c r="B58">
        <v>12153</v>
      </c>
      <c r="C58" t="s">
        <v>261</v>
      </c>
      <c r="D58" t="s">
        <v>153</v>
      </c>
      <c r="E58" t="s">
        <v>176</v>
      </c>
      <c r="F58">
        <v>16</v>
      </c>
      <c r="G58">
        <v>40.299999999999997</v>
      </c>
      <c r="H58">
        <v>24</v>
      </c>
      <c r="I58">
        <v>60</v>
      </c>
      <c r="J58">
        <v>252</v>
      </c>
      <c r="K58">
        <v>2</v>
      </c>
      <c r="L58">
        <v>0</v>
      </c>
      <c r="M58">
        <v>6.3</v>
      </c>
      <c r="N58">
        <v>10.5</v>
      </c>
      <c r="O58">
        <v>0</v>
      </c>
      <c r="P58">
        <v>0</v>
      </c>
      <c r="Q58">
        <v>0</v>
      </c>
      <c r="R58">
        <v>0</v>
      </c>
      <c r="S58">
        <v>0</v>
      </c>
      <c r="T58">
        <v>2.2999999999999998</v>
      </c>
      <c r="U58">
        <v>37.200000000000003</v>
      </c>
      <c r="V58">
        <v>61.2</v>
      </c>
      <c r="W58">
        <f t="shared" si="1"/>
        <v>-33.799999999999997</v>
      </c>
    </row>
    <row r="59" spans="1:23" x14ac:dyDescent="0.25">
      <c r="A59">
        <f t="shared" si="2"/>
        <v>58</v>
      </c>
      <c r="B59">
        <v>9588</v>
      </c>
      <c r="C59" t="s">
        <v>568</v>
      </c>
      <c r="D59" t="s">
        <v>153</v>
      </c>
      <c r="E59" t="s">
        <v>393</v>
      </c>
      <c r="F59">
        <v>16</v>
      </c>
      <c r="G59">
        <v>40.1</v>
      </c>
      <c r="H59">
        <v>24</v>
      </c>
      <c r="I59">
        <v>60</v>
      </c>
      <c r="J59">
        <v>247</v>
      </c>
      <c r="K59">
        <v>2</v>
      </c>
      <c r="L59">
        <v>0</v>
      </c>
      <c r="M59">
        <v>6.2</v>
      </c>
      <c r="N59">
        <v>10.3</v>
      </c>
      <c r="O59">
        <v>0</v>
      </c>
      <c r="P59">
        <v>0</v>
      </c>
      <c r="Q59">
        <v>0</v>
      </c>
      <c r="R59">
        <v>0</v>
      </c>
      <c r="S59">
        <v>0</v>
      </c>
      <c r="T59">
        <v>2.2999999999999998</v>
      </c>
      <c r="U59">
        <v>36.700000000000003</v>
      </c>
      <c r="V59">
        <v>60.7</v>
      </c>
      <c r="W59">
        <f t="shared" si="1"/>
        <v>-34.299999999999997</v>
      </c>
    </row>
    <row r="60" spans="1:23" x14ac:dyDescent="0.25">
      <c r="A60">
        <f t="shared" si="2"/>
        <v>59.5</v>
      </c>
      <c r="B60">
        <v>17963</v>
      </c>
      <c r="C60" t="s">
        <v>249</v>
      </c>
      <c r="D60" t="s">
        <v>153</v>
      </c>
      <c r="E60" t="s">
        <v>162</v>
      </c>
      <c r="F60">
        <v>16</v>
      </c>
      <c r="G60">
        <v>34.299999999999997</v>
      </c>
      <c r="H60">
        <v>26</v>
      </c>
      <c r="I60">
        <v>76.5</v>
      </c>
      <c r="J60">
        <v>244</v>
      </c>
      <c r="K60">
        <v>2</v>
      </c>
      <c r="L60">
        <v>0</v>
      </c>
      <c r="M60">
        <v>7.2</v>
      </c>
      <c r="N60">
        <v>9.4</v>
      </c>
      <c r="O60">
        <v>0</v>
      </c>
      <c r="P60">
        <v>0</v>
      </c>
      <c r="Q60">
        <v>0</v>
      </c>
      <c r="R60">
        <v>1</v>
      </c>
      <c r="S60">
        <v>1</v>
      </c>
      <c r="T60">
        <v>2.2000000000000002</v>
      </c>
      <c r="U60">
        <v>34.4</v>
      </c>
      <c r="V60">
        <v>60.4</v>
      </c>
      <c r="W60">
        <f t="shared" si="1"/>
        <v>-34.6</v>
      </c>
    </row>
    <row r="61" spans="1:23" x14ac:dyDescent="0.25">
      <c r="A61">
        <f t="shared" si="2"/>
        <v>59.5</v>
      </c>
      <c r="B61">
        <v>11756</v>
      </c>
      <c r="C61" t="s">
        <v>251</v>
      </c>
      <c r="D61" t="s">
        <v>153</v>
      </c>
      <c r="E61" t="s">
        <v>167</v>
      </c>
      <c r="F61">
        <v>16</v>
      </c>
      <c r="G61">
        <v>36.799999999999997</v>
      </c>
      <c r="H61">
        <v>25</v>
      </c>
      <c r="I61">
        <v>67.599999999999994</v>
      </c>
      <c r="J61">
        <v>254</v>
      </c>
      <c r="K61">
        <v>2</v>
      </c>
      <c r="L61">
        <v>0</v>
      </c>
      <c r="M61">
        <v>6.9</v>
      </c>
      <c r="N61">
        <v>10.199999999999999</v>
      </c>
      <c r="O61">
        <v>0</v>
      </c>
      <c r="P61">
        <v>0</v>
      </c>
      <c r="Q61">
        <v>0</v>
      </c>
      <c r="R61">
        <v>1</v>
      </c>
      <c r="S61">
        <v>1</v>
      </c>
      <c r="T61">
        <v>2.2000000000000002</v>
      </c>
      <c r="U61">
        <v>35.4</v>
      </c>
      <c r="V61">
        <v>60.4</v>
      </c>
      <c r="W61">
        <f t="shared" si="1"/>
        <v>-34.6</v>
      </c>
    </row>
    <row r="62" spans="1:23" x14ac:dyDescent="0.25">
      <c r="A62">
        <f t="shared" si="2"/>
        <v>61</v>
      </c>
      <c r="B62">
        <v>14152</v>
      </c>
      <c r="C62" t="s">
        <v>375</v>
      </c>
      <c r="D62" t="s">
        <v>153</v>
      </c>
      <c r="E62" t="s">
        <v>288</v>
      </c>
      <c r="F62">
        <v>16</v>
      </c>
      <c r="G62">
        <v>30.8</v>
      </c>
      <c r="H62">
        <v>23</v>
      </c>
      <c r="I62">
        <v>74.2</v>
      </c>
      <c r="J62">
        <v>244</v>
      </c>
      <c r="K62">
        <v>2</v>
      </c>
      <c r="L62">
        <v>0</v>
      </c>
      <c r="M62">
        <v>7.9</v>
      </c>
      <c r="N62">
        <v>10.6</v>
      </c>
      <c r="O62">
        <v>0</v>
      </c>
      <c r="P62">
        <v>0</v>
      </c>
      <c r="Q62">
        <v>0</v>
      </c>
      <c r="R62">
        <v>0</v>
      </c>
      <c r="S62">
        <v>0</v>
      </c>
      <c r="T62">
        <v>2.2999999999999998</v>
      </c>
      <c r="U62">
        <v>36.4</v>
      </c>
      <c r="V62">
        <v>59.4</v>
      </c>
      <c r="W62">
        <f t="shared" si="1"/>
        <v>-35.6</v>
      </c>
    </row>
    <row r="63" spans="1:23" x14ac:dyDescent="0.25">
      <c r="A63">
        <f t="shared" si="2"/>
        <v>62</v>
      </c>
      <c r="B63">
        <v>14764</v>
      </c>
      <c r="C63" t="s">
        <v>593</v>
      </c>
      <c r="D63" t="s">
        <v>153</v>
      </c>
      <c r="E63" t="s">
        <v>417</v>
      </c>
      <c r="F63">
        <v>16</v>
      </c>
      <c r="G63">
        <v>45.9</v>
      </c>
      <c r="H63">
        <v>27</v>
      </c>
      <c r="I63">
        <v>58.7</v>
      </c>
      <c r="J63">
        <v>260</v>
      </c>
      <c r="K63">
        <v>1</v>
      </c>
      <c r="L63">
        <v>0</v>
      </c>
      <c r="M63">
        <v>5.7</v>
      </c>
      <c r="N63">
        <v>9.6</v>
      </c>
      <c r="O63">
        <v>0</v>
      </c>
      <c r="P63">
        <v>0</v>
      </c>
      <c r="Q63">
        <v>0</v>
      </c>
      <c r="R63">
        <v>0</v>
      </c>
      <c r="S63">
        <v>0</v>
      </c>
      <c r="T63">
        <v>2</v>
      </c>
      <c r="U63">
        <v>32</v>
      </c>
      <c r="V63">
        <v>59</v>
      </c>
      <c r="W63">
        <f t="shared" si="1"/>
        <v>-36</v>
      </c>
    </row>
    <row r="64" spans="1:23" x14ac:dyDescent="0.25">
      <c r="A64">
        <f t="shared" si="2"/>
        <v>63</v>
      </c>
      <c r="B64">
        <v>13016</v>
      </c>
      <c r="C64" t="s">
        <v>377</v>
      </c>
      <c r="D64" t="s">
        <v>153</v>
      </c>
      <c r="E64" t="s">
        <v>292</v>
      </c>
      <c r="F64">
        <v>16</v>
      </c>
      <c r="G64">
        <v>36.799999999999997</v>
      </c>
      <c r="H64">
        <v>23</v>
      </c>
      <c r="I64">
        <v>62.2</v>
      </c>
      <c r="J64">
        <v>238</v>
      </c>
      <c r="K64">
        <v>2</v>
      </c>
      <c r="L64">
        <v>0</v>
      </c>
      <c r="M64">
        <v>6.4</v>
      </c>
      <c r="N64">
        <v>10.3</v>
      </c>
      <c r="O64">
        <v>0</v>
      </c>
      <c r="P64">
        <v>0</v>
      </c>
      <c r="Q64">
        <v>0</v>
      </c>
      <c r="R64">
        <v>0</v>
      </c>
      <c r="S64">
        <v>0</v>
      </c>
      <c r="T64">
        <v>2.2000000000000002</v>
      </c>
      <c r="U64">
        <v>35.799999999999997</v>
      </c>
      <c r="V64">
        <v>58.8</v>
      </c>
      <c r="W64">
        <f t="shared" si="1"/>
        <v>-36.200000000000003</v>
      </c>
    </row>
    <row r="65" spans="1:23" x14ac:dyDescent="0.25">
      <c r="A65">
        <f t="shared" si="2"/>
        <v>64</v>
      </c>
      <c r="B65">
        <v>15782</v>
      </c>
      <c r="C65" t="s">
        <v>733</v>
      </c>
      <c r="D65" t="s">
        <v>153</v>
      </c>
      <c r="E65" t="s">
        <v>635</v>
      </c>
      <c r="F65">
        <v>16</v>
      </c>
      <c r="G65">
        <v>42.1</v>
      </c>
      <c r="H65">
        <v>26</v>
      </c>
      <c r="I65">
        <v>61.9</v>
      </c>
      <c r="J65">
        <v>232</v>
      </c>
      <c r="K65">
        <v>2</v>
      </c>
      <c r="L65">
        <v>0</v>
      </c>
      <c r="M65">
        <v>5.5</v>
      </c>
      <c r="N65">
        <v>8.9</v>
      </c>
      <c r="O65">
        <v>0</v>
      </c>
      <c r="P65">
        <v>0</v>
      </c>
      <c r="Q65">
        <v>0</v>
      </c>
      <c r="R65">
        <v>2</v>
      </c>
      <c r="S65">
        <v>2</v>
      </c>
      <c r="T65">
        <v>2</v>
      </c>
      <c r="U65">
        <v>31.2</v>
      </c>
      <c r="V65">
        <v>57.2</v>
      </c>
      <c r="W65">
        <f t="shared" si="1"/>
        <v>-37.799999999999997</v>
      </c>
    </row>
    <row r="66" spans="1:23" x14ac:dyDescent="0.25">
      <c r="A66">
        <f t="shared" ref="A66:A97" si="3">_xlfn.RANK.AVG(V66,$V$2:$V$131,0)</f>
        <v>65</v>
      </c>
      <c r="B66">
        <v>5511</v>
      </c>
      <c r="C66" t="s">
        <v>745</v>
      </c>
      <c r="D66" t="s">
        <v>153</v>
      </c>
      <c r="E66" t="s">
        <v>107</v>
      </c>
      <c r="F66">
        <v>16</v>
      </c>
      <c r="G66">
        <v>35.700000000000003</v>
      </c>
      <c r="H66">
        <v>21</v>
      </c>
      <c r="I66">
        <v>58.3</v>
      </c>
      <c r="J66">
        <v>256</v>
      </c>
      <c r="K66">
        <v>2</v>
      </c>
      <c r="L66">
        <v>0</v>
      </c>
      <c r="M66">
        <v>7.1</v>
      </c>
      <c r="N66">
        <v>12.2</v>
      </c>
      <c r="O66">
        <v>0</v>
      </c>
      <c r="P66">
        <v>0</v>
      </c>
      <c r="Q66">
        <v>0</v>
      </c>
      <c r="R66">
        <v>1</v>
      </c>
      <c r="S66">
        <v>1</v>
      </c>
      <c r="T66">
        <v>2.2000000000000002</v>
      </c>
      <c r="U66">
        <v>35.6</v>
      </c>
      <c r="V66">
        <v>56.6</v>
      </c>
      <c r="W66">
        <f t="shared" si="1"/>
        <v>-38.4</v>
      </c>
    </row>
    <row r="67" spans="1:23" x14ac:dyDescent="0.25">
      <c r="A67">
        <f t="shared" si="3"/>
        <v>66</v>
      </c>
      <c r="B67">
        <v>8142</v>
      </c>
      <c r="C67" t="s">
        <v>737</v>
      </c>
      <c r="D67" t="s">
        <v>153</v>
      </c>
      <c r="E67" t="s">
        <v>639</v>
      </c>
      <c r="F67">
        <v>16</v>
      </c>
      <c r="G67">
        <v>30.5</v>
      </c>
      <c r="H67">
        <v>21</v>
      </c>
      <c r="I67">
        <v>70</v>
      </c>
      <c r="J67">
        <v>213</v>
      </c>
      <c r="K67">
        <v>2</v>
      </c>
      <c r="L67">
        <v>0</v>
      </c>
      <c r="M67">
        <v>7.1</v>
      </c>
      <c r="N67">
        <v>10.1</v>
      </c>
      <c r="O67">
        <v>0</v>
      </c>
      <c r="P67">
        <v>0</v>
      </c>
      <c r="Q67">
        <v>0</v>
      </c>
      <c r="R67">
        <v>0</v>
      </c>
      <c r="S67">
        <v>0</v>
      </c>
      <c r="T67">
        <v>2.1</v>
      </c>
      <c r="U67">
        <v>33.299999999999997</v>
      </c>
      <c r="V67">
        <v>54.3</v>
      </c>
      <c r="W67">
        <f t="shared" ref="W67:W130" si="4">V67-$Y$1</f>
        <v>-40.700000000000003</v>
      </c>
    </row>
    <row r="68" spans="1:23" x14ac:dyDescent="0.25">
      <c r="A68">
        <f t="shared" si="3"/>
        <v>67</v>
      </c>
      <c r="B68">
        <v>14876</v>
      </c>
      <c r="C68" t="s">
        <v>598</v>
      </c>
      <c r="D68" t="s">
        <v>153</v>
      </c>
      <c r="E68" t="s">
        <v>421</v>
      </c>
      <c r="F68">
        <v>16</v>
      </c>
      <c r="G68">
        <v>36.5</v>
      </c>
      <c r="H68">
        <v>25</v>
      </c>
      <c r="I68">
        <v>69.400000000000006</v>
      </c>
      <c r="J68">
        <v>251</v>
      </c>
      <c r="K68">
        <v>1</v>
      </c>
      <c r="L68">
        <v>0</v>
      </c>
      <c r="M68">
        <v>7</v>
      </c>
      <c r="N68">
        <v>10</v>
      </c>
      <c r="O68">
        <v>0</v>
      </c>
      <c r="P68">
        <v>0</v>
      </c>
      <c r="Q68">
        <v>0</v>
      </c>
      <c r="R68">
        <v>1</v>
      </c>
      <c r="S68">
        <v>1</v>
      </c>
      <c r="T68">
        <v>1.8</v>
      </c>
      <c r="U68">
        <v>29.1</v>
      </c>
      <c r="V68">
        <v>54.1</v>
      </c>
      <c r="W68">
        <f t="shared" si="4"/>
        <v>-40.9</v>
      </c>
    </row>
    <row r="69" spans="1:23" x14ac:dyDescent="0.25">
      <c r="A69">
        <f t="shared" si="3"/>
        <v>68</v>
      </c>
      <c r="B69">
        <v>16200</v>
      </c>
      <c r="C69" t="s">
        <v>578</v>
      </c>
      <c r="D69" t="s">
        <v>153</v>
      </c>
      <c r="E69" t="s">
        <v>400</v>
      </c>
      <c r="F69">
        <v>16</v>
      </c>
      <c r="G69">
        <v>29.9</v>
      </c>
      <c r="H69">
        <v>23</v>
      </c>
      <c r="I69">
        <v>76.7</v>
      </c>
      <c r="J69">
        <v>229</v>
      </c>
      <c r="K69">
        <v>2</v>
      </c>
      <c r="L69">
        <v>0</v>
      </c>
      <c r="M69">
        <v>7.6</v>
      </c>
      <c r="N69">
        <v>10</v>
      </c>
      <c r="O69">
        <v>0</v>
      </c>
      <c r="P69">
        <v>0</v>
      </c>
      <c r="Q69">
        <v>0</v>
      </c>
      <c r="R69">
        <v>2</v>
      </c>
      <c r="S69">
        <v>2</v>
      </c>
      <c r="T69">
        <v>1.9</v>
      </c>
      <c r="U69">
        <v>30.9</v>
      </c>
      <c r="V69">
        <v>53.9</v>
      </c>
      <c r="W69">
        <f t="shared" si="4"/>
        <v>-41.1</v>
      </c>
    </row>
    <row r="70" spans="1:23" x14ac:dyDescent="0.25">
      <c r="A70">
        <f t="shared" si="3"/>
        <v>69</v>
      </c>
      <c r="B70">
        <v>16083</v>
      </c>
      <c r="C70" t="s">
        <v>252</v>
      </c>
      <c r="D70" t="s">
        <v>153</v>
      </c>
      <c r="E70" t="s">
        <v>167</v>
      </c>
      <c r="F70">
        <v>16</v>
      </c>
      <c r="G70">
        <v>31.3</v>
      </c>
      <c r="H70">
        <v>18</v>
      </c>
      <c r="I70">
        <v>58.1</v>
      </c>
      <c r="J70">
        <v>218</v>
      </c>
      <c r="K70">
        <v>2</v>
      </c>
      <c r="L70">
        <v>0</v>
      </c>
      <c r="M70">
        <v>7</v>
      </c>
      <c r="N70">
        <v>12.1</v>
      </c>
      <c r="O70">
        <v>0</v>
      </c>
      <c r="P70">
        <v>0</v>
      </c>
      <c r="Q70">
        <v>0</v>
      </c>
      <c r="R70">
        <v>0</v>
      </c>
      <c r="S70">
        <v>0</v>
      </c>
      <c r="T70">
        <v>2.1</v>
      </c>
      <c r="U70">
        <v>33.799999999999997</v>
      </c>
      <c r="V70">
        <v>51.8</v>
      </c>
      <c r="W70">
        <f t="shared" si="4"/>
        <v>-43.2</v>
      </c>
    </row>
    <row r="71" spans="1:23" x14ac:dyDescent="0.25">
      <c r="A71">
        <f t="shared" si="3"/>
        <v>70</v>
      </c>
      <c r="B71">
        <v>5084</v>
      </c>
      <c r="C71" t="s">
        <v>886</v>
      </c>
      <c r="D71" t="s">
        <v>153</v>
      </c>
      <c r="E71" t="s">
        <v>787</v>
      </c>
      <c r="F71">
        <v>16</v>
      </c>
      <c r="G71">
        <v>33.200000000000003</v>
      </c>
      <c r="H71">
        <v>20</v>
      </c>
      <c r="I71">
        <v>60.6</v>
      </c>
      <c r="J71">
        <v>219</v>
      </c>
      <c r="K71">
        <v>1</v>
      </c>
      <c r="L71">
        <v>0</v>
      </c>
      <c r="M71">
        <v>6.6</v>
      </c>
      <c r="N71">
        <v>11</v>
      </c>
      <c r="O71">
        <v>0</v>
      </c>
      <c r="P71">
        <v>0</v>
      </c>
      <c r="Q71">
        <v>0</v>
      </c>
      <c r="R71">
        <v>0</v>
      </c>
      <c r="S71">
        <v>0</v>
      </c>
      <c r="T71">
        <v>1.7</v>
      </c>
      <c r="U71">
        <v>27.9</v>
      </c>
      <c r="V71">
        <v>47.9</v>
      </c>
      <c r="W71">
        <f t="shared" si="4"/>
        <v>-47.1</v>
      </c>
    </row>
    <row r="72" spans="1:23" x14ac:dyDescent="0.25">
      <c r="A72">
        <f t="shared" si="3"/>
        <v>71</v>
      </c>
      <c r="B72">
        <v>1545</v>
      </c>
      <c r="C72" t="s">
        <v>883</v>
      </c>
      <c r="D72" t="s">
        <v>153</v>
      </c>
      <c r="E72" t="s">
        <v>783</v>
      </c>
      <c r="F72">
        <v>16</v>
      </c>
      <c r="G72">
        <v>34.6</v>
      </c>
      <c r="H72">
        <v>20</v>
      </c>
      <c r="I72">
        <v>57.1</v>
      </c>
      <c r="J72">
        <v>213</v>
      </c>
      <c r="K72">
        <v>1</v>
      </c>
      <c r="L72">
        <v>0</v>
      </c>
      <c r="M72">
        <v>6.1</v>
      </c>
      <c r="N72">
        <v>10.6</v>
      </c>
      <c r="O72">
        <v>0</v>
      </c>
      <c r="P72">
        <v>0</v>
      </c>
      <c r="Q72">
        <v>0</v>
      </c>
      <c r="R72">
        <v>0</v>
      </c>
      <c r="S72">
        <v>0</v>
      </c>
      <c r="T72">
        <v>1.7</v>
      </c>
      <c r="U72">
        <v>27.3</v>
      </c>
      <c r="V72">
        <v>47.3</v>
      </c>
      <c r="W72">
        <f t="shared" si="4"/>
        <v>-47.7</v>
      </c>
    </row>
    <row r="73" spans="1:23" x14ac:dyDescent="0.25">
      <c r="A73">
        <f t="shared" si="3"/>
        <v>72</v>
      </c>
      <c r="B73">
        <v>16816</v>
      </c>
      <c r="C73" t="s">
        <v>253</v>
      </c>
      <c r="D73" t="s">
        <v>153</v>
      </c>
      <c r="E73" t="s">
        <v>167</v>
      </c>
      <c r="F73">
        <v>16</v>
      </c>
      <c r="G73">
        <v>34.200000000000003</v>
      </c>
      <c r="H73">
        <v>20</v>
      </c>
      <c r="I73">
        <v>58.8</v>
      </c>
      <c r="J73">
        <v>183</v>
      </c>
      <c r="K73">
        <v>1</v>
      </c>
      <c r="L73">
        <v>0</v>
      </c>
      <c r="M73">
        <v>5.4</v>
      </c>
      <c r="N73">
        <v>9.1999999999999993</v>
      </c>
      <c r="O73">
        <v>0</v>
      </c>
      <c r="P73">
        <v>0</v>
      </c>
      <c r="Q73">
        <v>0</v>
      </c>
      <c r="R73">
        <v>0</v>
      </c>
      <c r="S73">
        <v>0</v>
      </c>
      <c r="T73">
        <v>1.5</v>
      </c>
      <c r="U73">
        <v>24.3</v>
      </c>
      <c r="V73">
        <v>44.3</v>
      </c>
      <c r="W73">
        <f t="shared" si="4"/>
        <v>-50.7</v>
      </c>
    </row>
    <row r="74" spans="1:23" x14ac:dyDescent="0.25">
      <c r="A74">
        <f t="shared" si="3"/>
        <v>73</v>
      </c>
      <c r="B74">
        <v>15640</v>
      </c>
      <c r="C74" t="s">
        <v>887</v>
      </c>
      <c r="D74" t="s">
        <v>153</v>
      </c>
      <c r="E74" t="s">
        <v>787</v>
      </c>
      <c r="F74">
        <v>16</v>
      </c>
      <c r="G74">
        <v>30.4</v>
      </c>
      <c r="H74">
        <v>20</v>
      </c>
      <c r="I74">
        <v>66.7</v>
      </c>
      <c r="J74">
        <v>178</v>
      </c>
      <c r="K74">
        <v>0</v>
      </c>
      <c r="L74">
        <v>0</v>
      </c>
      <c r="M74">
        <v>5.9</v>
      </c>
      <c r="N74">
        <v>8.9</v>
      </c>
      <c r="O74">
        <v>0</v>
      </c>
      <c r="P74">
        <v>0</v>
      </c>
      <c r="Q74">
        <v>0</v>
      </c>
      <c r="R74">
        <v>0</v>
      </c>
      <c r="S74">
        <v>0</v>
      </c>
      <c r="T74">
        <v>1.1000000000000001</v>
      </c>
      <c r="U74">
        <v>17.8</v>
      </c>
      <c r="V74">
        <v>37.799999999999997</v>
      </c>
      <c r="W74">
        <f t="shared" si="4"/>
        <v>-57.2</v>
      </c>
    </row>
    <row r="75" spans="1:23" x14ac:dyDescent="0.25">
      <c r="A75">
        <f t="shared" si="3"/>
        <v>74</v>
      </c>
      <c r="B75">
        <v>11535</v>
      </c>
      <c r="C75" t="s">
        <v>731</v>
      </c>
      <c r="D75" t="s">
        <v>153</v>
      </c>
      <c r="E75" t="s">
        <v>631</v>
      </c>
      <c r="F75">
        <v>16</v>
      </c>
      <c r="G75">
        <v>14</v>
      </c>
      <c r="H75">
        <v>8</v>
      </c>
      <c r="I75">
        <v>57.1</v>
      </c>
      <c r="J75">
        <v>65</v>
      </c>
      <c r="K75">
        <v>3</v>
      </c>
      <c r="L75">
        <v>0</v>
      </c>
      <c r="M75">
        <v>4.5999999999999996</v>
      </c>
      <c r="N75">
        <v>8.1</v>
      </c>
      <c r="O75">
        <v>1</v>
      </c>
      <c r="P75">
        <v>0</v>
      </c>
      <c r="Q75">
        <v>0</v>
      </c>
      <c r="R75">
        <v>1</v>
      </c>
      <c r="S75">
        <v>1</v>
      </c>
      <c r="T75">
        <v>1.4</v>
      </c>
      <c r="U75">
        <v>22.5</v>
      </c>
      <c r="V75">
        <v>30.5</v>
      </c>
      <c r="W75">
        <f t="shared" si="4"/>
        <v>-64.5</v>
      </c>
    </row>
    <row r="76" spans="1:23" x14ac:dyDescent="0.25">
      <c r="A76">
        <f t="shared" si="3"/>
        <v>75</v>
      </c>
      <c r="B76">
        <v>15305</v>
      </c>
      <c r="C76" t="s">
        <v>589</v>
      </c>
      <c r="D76" t="s">
        <v>153</v>
      </c>
      <c r="E76" t="s">
        <v>411</v>
      </c>
      <c r="F76">
        <v>16</v>
      </c>
      <c r="G76">
        <v>10.6</v>
      </c>
      <c r="H76">
        <v>7</v>
      </c>
      <c r="I76">
        <v>63.6</v>
      </c>
      <c r="J76">
        <v>72</v>
      </c>
      <c r="K76">
        <v>1</v>
      </c>
      <c r="L76">
        <v>0</v>
      </c>
      <c r="M76">
        <v>6.5</v>
      </c>
      <c r="N76">
        <v>10.3</v>
      </c>
      <c r="O76">
        <v>0</v>
      </c>
      <c r="P76">
        <v>0</v>
      </c>
      <c r="Q76">
        <v>0</v>
      </c>
      <c r="R76">
        <v>0</v>
      </c>
      <c r="S76">
        <v>0</v>
      </c>
      <c r="T76">
        <v>0.8</v>
      </c>
      <c r="U76">
        <v>13.2</v>
      </c>
      <c r="V76">
        <v>20.2</v>
      </c>
      <c r="W76">
        <f t="shared" si="4"/>
        <v>-74.8</v>
      </c>
    </row>
    <row r="77" spans="1:23" x14ac:dyDescent="0.25">
      <c r="A77">
        <f t="shared" si="3"/>
        <v>76</v>
      </c>
      <c r="B77">
        <v>11317</v>
      </c>
      <c r="C77" t="s">
        <v>607</v>
      </c>
      <c r="D77" t="s">
        <v>153</v>
      </c>
      <c r="E77" t="s">
        <v>430</v>
      </c>
      <c r="F77">
        <v>16</v>
      </c>
      <c r="G77">
        <v>11.7</v>
      </c>
      <c r="H77">
        <v>9</v>
      </c>
      <c r="I77">
        <v>75</v>
      </c>
      <c r="J77">
        <v>87</v>
      </c>
      <c r="K77">
        <v>0</v>
      </c>
      <c r="L77">
        <v>0</v>
      </c>
      <c r="M77">
        <v>7.2</v>
      </c>
      <c r="N77">
        <v>9.6999999999999993</v>
      </c>
      <c r="O77">
        <v>0</v>
      </c>
      <c r="P77">
        <v>0</v>
      </c>
      <c r="Q77">
        <v>0</v>
      </c>
      <c r="R77">
        <v>0</v>
      </c>
      <c r="S77">
        <v>0</v>
      </c>
      <c r="T77">
        <v>0.5</v>
      </c>
      <c r="U77">
        <v>8.6999999999999993</v>
      </c>
      <c r="V77">
        <v>17.7</v>
      </c>
      <c r="W77">
        <f t="shared" si="4"/>
        <v>-77.3</v>
      </c>
    </row>
    <row r="78" spans="1:23" x14ac:dyDescent="0.25">
      <c r="A78">
        <f t="shared" si="3"/>
        <v>77</v>
      </c>
      <c r="B78">
        <v>13170</v>
      </c>
      <c r="C78" t="s">
        <v>888</v>
      </c>
      <c r="D78" t="s">
        <v>153</v>
      </c>
      <c r="E78" t="s">
        <v>787</v>
      </c>
      <c r="F78">
        <v>16</v>
      </c>
      <c r="G78">
        <v>12</v>
      </c>
      <c r="H78">
        <v>9</v>
      </c>
      <c r="I78">
        <v>75</v>
      </c>
      <c r="J78">
        <v>76</v>
      </c>
      <c r="K78">
        <v>0</v>
      </c>
      <c r="L78">
        <v>0</v>
      </c>
      <c r="M78">
        <v>6.3</v>
      </c>
      <c r="N78">
        <v>8.4</v>
      </c>
      <c r="O78">
        <v>0</v>
      </c>
      <c r="P78">
        <v>0</v>
      </c>
      <c r="Q78">
        <v>0</v>
      </c>
      <c r="R78">
        <v>0</v>
      </c>
      <c r="S78">
        <v>0</v>
      </c>
      <c r="T78">
        <v>0.5</v>
      </c>
      <c r="U78">
        <v>7.6</v>
      </c>
      <c r="V78">
        <v>16.600000000000001</v>
      </c>
      <c r="W78">
        <f t="shared" si="4"/>
        <v>-78.400000000000006</v>
      </c>
    </row>
    <row r="79" spans="1:23" x14ac:dyDescent="0.25">
      <c r="A79">
        <f t="shared" si="3"/>
        <v>78</v>
      </c>
      <c r="B79">
        <v>17015</v>
      </c>
      <c r="C79" t="s">
        <v>155</v>
      </c>
      <c r="D79" t="s">
        <v>153</v>
      </c>
      <c r="E79" t="s">
        <v>135</v>
      </c>
      <c r="F79">
        <v>16</v>
      </c>
      <c r="G79">
        <v>0</v>
      </c>
      <c r="H79">
        <v>0</v>
      </c>
      <c r="I79">
        <v>0</v>
      </c>
      <c r="J79">
        <v>103</v>
      </c>
      <c r="K79">
        <v>1</v>
      </c>
      <c r="L79">
        <v>0</v>
      </c>
      <c r="M79">
        <v>0</v>
      </c>
      <c r="N79">
        <v>0</v>
      </c>
      <c r="O79">
        <v>0</v>
      </c>
      <c r="P79">
        <v>0</v>
      </c>
      <c r="Q79">
        <v>0</v>
      </c>
      <c r="R79">
        <v>0</v>
      </c>
      <c r="S79">
        <v>0</v>
      </c>
      <c r="T79">
        <v>1</v>
      </c>
      <c r="U79">
        <v>16.3</v>
      </c>
      <c r="V79">
        <v>16.3</v>
      </c>
      <c r="W79">
        <f t="shared" si="4"/>
        <v>-78.7</v>
      </c>
    </row>
    <row r="80" spans="1:23" x14ac:dyDescent="0.25">
      <c r="A80">
        <f t="shared" si="3"/>
        <v>79</v>
      </c>
      <c r="B80">
        <v>16487</v>
      </c>
      <c r="C80" t="s">
        <v>575</v>
      </c>
      <c r="D80" t="s">
        <v>153</v>
      </c>
      <c r="E80" t="s">
        <v>397</v>
      </c>
      <c r="F80">
        <v>16</v>
      </c>
      <c r="G80">
        <v>14.2</v>
      </c>
      <c r="H80">
        <v>8</v>
      </c>
      <c r="I80">
        <v>57.1</v>
      </c>
      <c r="J80">
        <v>69</v>
      </c>
      <c r="K80">
        <v>0</v>
      </c>
      <c r="L80">
        <v>0</v>
      </c>
      <c r="M80">
        <v>4.9000000000000004</v>
      </c>
      <c r="N80">
        <v>8.6</v>
      </c>
      <c r="O80">
        <v>0</v>
      </c>
      <c r="P80">
        <v>0</v>
      </c>
      <c r="Q80">
        <v>0</v>
      </c>
      <c r="R80">
        <v>0</v>
      </c>
      <c r="S80">
        <v>0</v>
      </c>
      <c r="T80">
        <v>0.4</v>
      </c>
      <c r="U80">
        <v>6.9</v>
      </c>
      <c r="V80">
        <v>14.9</v>
      </c>
      <c r="W80">
        <f t="shared" si="4"/>
        <v>-80.099999999999994</v>
      </c>
    </row>
    <row r="81" spans="1:23" x14ac:dyDescent="0.25">
      <c r="A81">
        <f t="shared" si="3"/>
        <v>80</v>
      </c>
      <c r="B81">
        <v>17021</v>
      </c>
      <c r="C81" t="s">
        <v>371</v>
      </c>
      <c r="D81" t="s">
        <v>153</v>
      </c>
      <c r="E81" t="s">
        <v>283</v>
      </c>
      <c r="F81">
        <v>16</v>
      </c>
      <c r="G81">
        <v>12.3</v>
      </c>
      <c r="H81">
        <v>7</v>
      </c>
      <c r="I81">
        <v>58.3</v>
      </c>
      <c r="J81">
        <v>70</v>
      </c>
      <c r="K81">
        <v>0</v>
      </c>
      <c r="L81">
        <v>0</v>
      </c>
      <c r="M81">
        <v>5.8</v>
      </c>
      <c r="N81">
        <v>10</v>
      </c>
      <c r="O81">
        <v>0</v>
      </c>
      <c r="P81">
        <v>0</v>
      </c>
      <c r="Q81">
        <v>0</v>
      </c>
      <c r="R81">
        <v>0</v>
      </c>
      <c r="S81">
        <v>0</v>
      </c>
      <c r="T81">
        <v>0.4</v>
      </c>
      <c r="U81">
        <v>7</v>
      </c>
      <c r="V81">
        <v>14</v>
      </c>
      <c r="W81">
        <f t="shared" si="4"/>
        <v>-81</v>
      </c>
    </row>
    <row r="82" spans="1:23" x14ac:dyDescent="0.25">
      <c r="A82">
        <f t="shared" si="3"/>
        <v>81</v>
      </c>
      <c r="B82">
        <v>13370</v>
      </c>
      <c r="C82" t="s">
        <v>879</v>
      </c>
      <c r="D82" t="s">
        <v>153</v>
      </c>
      <c r="E82" t="s">
        <v>779</v>
      </c>
      <c r="F82">
        <v>16</v>
      </c>
      <c r="G82">
        <v>14.1</v>
      </c>
      <c r="H82">
        <v>9</v>
      </c>
      <c r="I82">
        <v>64.3</v>
      </c>
      <c r="J82">
        <v>48</v>
      </c>
      <c r="K82">
        <v>0</v>
      </c>
      <c r="L82">
        <v>0</v>
      </c>
      <c r="M82">
        <v>3.4</v>
      </c>
      <c r="N82">
        <v>5.3</v>
      </c>
      <c r="O82">
        <v>0</v>
      </c>
      <c r="P82">
        <v>0</v>
      </c>
      <c r="Q82">
        <v>0</v>
      </c>
      <c r="R82">
        <v>0</v>
      </c>
      <c r="S82">
        <v>0</v>
      </c>
      <c r="T82">
        <v>0.3</v>
      </c>
      <c r="U82">
        <v>4.8</v>
      </c>
      <c r="V82">
        <v>13.8</v>
      </c>
      <c r="W82">
        <f t="shared" si="4"/>
        <v>-81.2</v>
      </c>
    </row>
    <row r="83" spans="1:23" x14ac:dyDescent="0.25">
      <c r="A83">
        <f t="shared" si="3"/>
        <v>82</v>
      </c>
      <c r="B83">
        <v>8848</v>
      </c>
      <c r="C83" t="s">
        <v>378</v>
      </c>
      <c r="D83" t="s">
        <v>153</v>
      </c>
      <c r="E83" t="s">
        <v>292</v>
      </c>
      <c r="F83">
        <v>16</v>
      </c>
      <c r="G83">
        <v>5.5</v>
      </c>
      <c r="H83">
        <v>4</v>
      </c>
      <c r="I83">
        <v>80</v>
      </c>
      <c r="J83">
        <v>28</v>
      </c>
      <c r="K83">
        <v>1</v>
      </c>
      <c r="L83">
        <v>0</v>
      </c>
      <c r="M83">
        <v>5.6</v>
      </c>
      <c r="N83">
        <v>7</v>
      </c>
      <c r="O83">
        <v>0</v>
      </c>
      <c r="P83">
        <v>0</v>
      </c>
      <c r="Q83">
        <v>0</v>
      </c>
      <c r="R83">
        <v>0</v>
      </c>
      <c r="S83">
        <v>0</v>
      </c>
      <c r="T83">
        <v>0.6</v>
      </c>
      <c r="U83">
        <v>8.8000000000000007</v>
      </c>
      <c r="V83">
        <v>12.8</v>
      </c>
      <c r="W83">
        <f t="shared" si="4"/>
        <v>-82.2</v>
      </c>
    </row>
    <row r="84" spans="1:23" x14ac:dyDescent="0.25">
      <c r="A84">
        <f t="shared" si="3"/>
        <v>83</v>
      </c>
      <c r="B84">
        <v>15416</v>
      </c>
      <c r="C84" t="s">
        <v>738</v>
      </c>
      <c r="D84" t="s">
        <v>153</v>
      </c>
      <c r="E84" t="s">
        <v>639</v>
      </c>
      <c r="F84">
        <v>16</v>
      </c>
      <c r="G84">
        <v>6</v>
      </c>
      <c r="H84">
        <v>4</v>
      </c>
      <c r="I84">
        <v>66.7</v>
      </c>
      <c r="J84">
        <v>75</v>
      </c>
      <c r="K84">
        <v>0</v>
      </c>
      <c r="L84">
        <v>0</v>
      </c>
      <c r="M84">
        <v>12.5</v>
      </c>
      <c r="N84">
        <v>18.8</v>
      </c>
      <c r="O84">
        <v>0</v>
      </c>
      <c r="P84">
        <v>0</v>
      </c>
      <c r="Q84">
        <v>0</v>
      </c>
      <c r="R84">
        <v>0</v>
      </c>
      <c r="S84">
        <v>0</v>
      </c>
      <c r="T84">
        <v>0.5</v>
      </c>
      <c r="U84">
        <v>7.5</v>
      </c>
      <c r="V84">
        <v>11.5</v>
      </c>
      <c r="W84">
        <f t="shared" si="4"/>
        <v>-83.5</v>
      </c>
    </row>
    <row r="85" spans="1:23" x14ac:dyDescent="0.25">
      <c r="A85">
        <f t="shared" si="3"/>
        <v>84</v>
      </c>
      <c r="B85">
        <v>16576</v>
      </c>
      <c r="C85" t="s">
        <v>586</v>
      </c>
      <c r="D85" t="s">
        <v>153</v>
      </c>
      <c r="E85" t="s">
        <v>408</v>
      </c>
      <c r="F85">
        <v>16</v>
      </c>
      <c r="G85">
        <v>7.6</v>
      </c>
      <c r="H85">
        <v>5</v>
      </c>
      <c r="I85">
        <v>62.5</v>
      </c>
      <c r="J85">
        <v>59</v>
      </c>
      <c r="K85">
        <v>0</v>
      </c>
      <c r="L85">
        <v>0</v>
      </c>
      <c r="M85">
        <v>7.4</v>
      </c>
      <c r="N85">
        <v>11.8</v>
      </c>
      <c r="O85">
        <v>0</v>
      </c>
      <c r="P85">
        <v>0</v>
      </c>
      <c r="Q85">
        <v>0</v>
      </c>
      <c r="R85">
        <v>0</v>
      </c>
      <c r="S85">
        <v>0</v>
      </c>
      <c r="T85">
        <v>0.4</v>
      </c>
      <c r="U85">
        <v>5.9</v>
      </c>
      <c r="V85">
        <v>10.9</v>
      </c>
      <c r="W85">
        <f t="shared" si="4"/>
        <v>-84.1</v>
      </c>
    </row>
    <row r="86" spans="1:23" x14ac:dyDescent="0.25">
      <c r="A86">
        <f t="shared" si="3"/>
        <v>85</v>
      </c>
      <c r="B86">
        <v>16931</v>
      </c>
      <c r="C86" t="s">
        <v>254</v>
      </c>
      <c r="D86" t="s">
        <v>153</v>
      </c>
      <c r="E86" t="s">
        <v>167</v>
      </c>
      <c r="F86">
        <v>16</v>
      </c>
      <c r="G86">
        <v>7</v>
      </c>
      <c r="H86">
        <v>4</v>
      </c>
      <c r="I86">
        <v>57.1</v>
      </c>
      <c r="J86">
        <v>46</v>
      </c>
      <c r="K86">
        <v>0</v>
      </c>
      <c r="L86">
        <v>0</v>
      </c>
      <c r="M86">
        <v>6.6</v>
      </c>
      <c r="N86">
        <v>11.5</v>
      </c>
      <c r="O86">
        <v>0</v>
      </c>
      <c r="P86">
        <v>0</v>
      </c>
      <c r="Q86">
        <v>0</v>
      </c>
      <c r="R86">
        <v>0</v>
      </c>
      <c r="S86">
        <v>0</v>
      </c>
      <c r="T86">
        <v>0.3</v>
      </c>
      <c r="U86">
        <v>4.5999999999999996</v>
      </c>
      <c r="V86">
        <v>8.6</v>
      </c>
      <c r="W86">
        <f t="shared" si="4"/>
        <v>-86.4</v>
      </c>
    </row>
    <row r="87" spans="1:23" x14ac:dyDescent="0.25">
      <c r="A87">
        <f t="shared" si="3"/>
        <v>86</v>
      </c>
      <c r="B87">
        <v>18019</v>
      </c>
      <c r="C87" t="s">
        <v>871</v>
      </c>
      <c r="D87" t="s">
        <v>153</v>
      </c>
      <c r="E87" t="s">
        <v>772</v>
      </c>
      <c r="F87">
        <v>16</v>
      </c>
      <c r="G87">
        <v>5.8</v>
      </c>
      <c r="H87">
        <v>4</v>
      </c>
      <c r="I87">
        <v>66.7</v>
      </c>
      <c r="J87">
        <v>35</v>
      </c>
      <c r="K87">
        <v>0</v>
      </c>
      <c r="L87">
        <v>0</v>
      </c>
      <c r="M87">
        <v>5.8</v>
      </c>
      <c r="N87">
        <v>8.8000000000000007</v>
      </c>
      <c r="O87">
        <v>0</v>
      </c>
      <c r="P87">
        <v>0</v>
      </c>
      <c r="Q87">
        <v>0</v>
      </c>
      <c r="R87">
        <v>0</v>
      </c>
      <c r="S87">
        <v>0</v>
      </c>
      <c r="T87">
        <v>0.2</v>
      </c>
      <c r="U87">
        <v>3.5</v>
      </c>
      <c r="V87">
        <v>7.5</v>
      </c>
      <c r="W87">
        <f t="shared" si="4"/>
        <v>-87.5</v>
      </c>
    </row>
    <row r="88" spans="1:23" x14ac:dyDescent="0.25">
      <c r="A88">
        <f t="shared" si="3"/>
        <v>87</v>
      </c>
      <c r="B88">
        <v>15378</v>
      </c>
      <c r="C88" t="s">
        <v>250</v>
      </c>
      <c r="D88" t="s">
        <v>153</v>
      </c>
      <c r="E88" t="s">
        <v>162</v>
      </c>
      <c r="F88">
        <v>16</v>
      </c>
      <c r="G88">
        <v>6.4</v>
      </c>
      <c r="H88">
        <v>4</v>
      </c>
      <c r="I88">
        <v>66.7</v>
      </c>
      <c r="J88">
        <v>30</v>
      </c>
      <c r="K88">
        <v>0</v>
      </c>
      <c r="L88">
        <v>0</v>
      </c>
      <c r="M88">
        <v>5</v>
      </c>
      <c r="N88">
        <v>7.5</v>
      </c>
      <c r="O88">
        <v>0</v>
      </c>
      <c r="P88">
        <v>0</v>
      </c>
      <c r="Q88">
        <v>0</v>
      </c>
      <c r="R88">
        <v>0</v>
      </c>
      <c r="S88">
        <v>0</v>
      </c>
      <c r="T88">
        <v>0.2</v>
      </c>
      <c r="U88">
        <v>3</v>
      </c>
      <c r="V88">
        <v>7</v>
      </c>
      <c r="W88">
        <f t="shared" si="4"/>
        <v>-88</v>
      </c>
    </row>
    <row r="89" spans="1:23" x14ac:dyDescent="0.25">
      <c r="A89">
        <f t="shared" si="3"/>
        <v>88</v>
      </c>
      <c r="B89">
        <v>11345</v>
      </c>
      <c r="C89" t="s">
        <v>889</v>
      </c>
      <c r="D89" t="s">
        <v>153</v>
      </c>
      <c r="E89" t="s">
        <v>787</v>
      </c>
      <c r="F89">
        <v>16</v>
      </c>
      <c r="G89">
        <v>6.5</v>
      </c>
      <c r="H89">
        <v>4</v>
      </c>
      <c r="I89">
        <v>66.7</v>
      </c>
      <c r="J89">
        <v>28</v>
      </c>
      <c r="K89">
        <v>0</v>
      </c>
      <c r="L89">
        <v>0</v>
      </c>
      <c r="M89">
        <v>4.7</v>
      </c>
      <c r="N89">
        <v>7</v>
      </c>
      <c r="O89">
        <v>0</v>
      </c>
      <c r="P89">
        <v>0</v>
      </c>
      <c r="Q89">
        <v>0</v>
      </c>
      <c r="R89">
        <v>0</v>
      </c>
      <c r="S89">
        <v>0</v>
      </c>
      <c r="T89">
        <v>0.2</v>
      </c>
      <c r="U89">
        <v>2.8</v>
      </c>
      <c r="V89">
        <v>6.8</v>
      </c>
      <c r="W89">
        <f t="shared" si="4"/>
        <v>-88.2</v>
      </c>
    </row>
    <row r="90" spans="1:23" x14ac:dyDescent="0.25">
      <c r="A90" s="12">
        <f t="shared" si="3"/>
        <v>89.5</v>
      </c>
      <c r="B90" s="12">
        <v>8508</v>
      </c>
      <c r="C90" s="12" t="s">
        <v>138</v>
      </c>
      <c r="D90" s="12" t="s">
        <v>153</v>
      </c>
      <c r="E90" s="12" t="s">
        <v>648</v>
      </c>
      <c r="F90" s="12">
        <v>16</v>
      </c>
      <c r="G90" s="12">
        <v>4.7</v>
      </c>
      <c r="H90" s="12">
        <v>3</v>
      </c>
      <c r="I90" s="12">
        <v>60</v>
      </c>
      <c r="J90" s="12">
        <v>35</v>
      </c>
      <c r="K90" s="12">
        <v>0</v>
      </c>
      <c r="L90" s="12">
        <v>0</v>
      </c>
      <c r="M90" s="12">
        <v>7</v>
      </c>
      <c r="N90" s="12">
        <v>11.7</v>
      </c>
      <c r="O90" s="12">
        <v>0</v>
      </c>
      <c r="P90" s="12">
        <v>0</v>
      </c>
      <c r="Q90" s="12">
        <v>0</v>
      </c>
      <c r="R90" s="12">
        <v>0</v>
      </c>
      <c r="S90" s="12">
        <v>0</v>
      </c>
      <c r="T90" s="12">
        <v>0.2</v>
      </c>
      <c r="U90" s="12">
        <v>3.5</v>
      </c>
      <c r="V90" s="12">
        <v>6.5</v>
      </c>
      <c r="W90" s="12">
        <f t="shared" si="4"/>
        <v>-88.5</v>
      </c>
    </row>
    <row r="91" spans="1:23" x14ac:dyDescent="0.25">
      <c r="A91">
        <f t="shared" si="3"/>
        <v>89.5</v>
      </c>
      <c r="B91">
        <v>8778</v>
      </c>
      <c r="C91" t="s">
        <v>880</v>
      </c>
      <c r="D91" t="s">
        <v>153</v>
      </c>
      <c r="E91" t="s">
        <v>779</v>
      </c>
      <c r="F91">
        <v>16</v>
      </c>
      <c r="G91">
        <v>4.7</v>
      </c>
      <c r="H91">
        <v>3</v>
      </c>
      <c r="I91">
        <v>60</v>
      </c>
      <c r="J91">
        <v>35</v>
      </c>
      <c r="K91">
        <v>0</v>
      </c>
      <c r="L91">
        <v>0</v>
      </c>
      <c r="M91">
        <v>7</v>
      </c>
      <c r="N91">
        <v>11.7</v>
      </c>
      <c r="O91">
        <v>0</v>
      </c>
      <c r="P91">
        <v>0</v>
      </c>
      <c r="Q91">
        <v>0</v>
      </c>
      <c r="R91">
        <v>0</v>
      </c>
      <c r="S91">
        <v>0</v>
      </c>
      <c r="T91">
        <v>0.2</v>
      </c>
      <c r="U91">
        <v>3.5</v>
      </c>
      <c r="V91">
        <v>6.5</v>
      </c>
      <c r="W91">
        <f t="shared" si="4"/>
        <v>-88.5</v>
      </c>
    </row>
    <row r="92" spans="1:23" x14ac:dyDescent="0.25">
      <c r="A92">
        <f t="shared" si="3"/>
        <v>91.5</v>
      </c>
      <c r="B92">
        <v>16648</v>
      </c>
      <c r="C92" t="s">
        <v>156</v>
      </c>
      <c r="D92" t="s">
        <v>153</v>
      </c>
      <c r="E92" t="s">
        <v>135</v>
      </c>
      <c r="F92">
        <v>16</v>
      </c>
      <c r="G92">
        <v>4</v>
      </c>
      <c r="H92">
        <v>3</v>
      </c>
      <c r="I92">
        <v>75</v>
      </c>
      <c r="J92">
        <v>34</v>
      </c>
      <c r="K92">
        <v>0</v>
      </c>
      <c r="L92">
        <v>0</v>
      </c>
      <c r="M92">
        <v>8.5</v>
      </c>
      <c r="N92">
        <v>11.3</v>
      </c>
      <c r="O92">
        <v>0</v>
      </c>
      <c r="P92">
        <v>0</v>
      </c>
      <c r="Q92">
        <v>0</v>
      </c>
      <c r="R92">
        <v>0</v>
      </c>
      <c r="S92">
        <v>0</v>
      </c>
      <c r="T92">
        <v>0.2</v>
      </c>
      <c r="U92">
        <v>3.4</v>
      </c>
      <c r="V92">
        <v>6.4</v>
      </c>
      <c r="W92">
        <f t="shared" si="4"/>
        <v>-88.6</v>
      </c>
    </row>
    <row r="93" spans="1:23" x14ac:dyDescent="0.25">
      <c r="A93">
        <f t="shared" si="3"/>
        <v>91.5</v>
      </c>
      <c r="B93">
        <v>16238</v>
      </c>
      <c r="C93" t="s">
        <v>582</v>
      </c>
      <c r="D93" t="s">
        <v>153</v>
      </c>
      <c r="E93" t="s">
        <v>404</v>
      </c>
      <c r="F93">
        <v>16</v>
      </c>
      <c r="G93">
        <v>6.9</v>
      </c>
      <c r="H93">
        <v>4</v>
      </c>
      <c r="I93">
        <v>57.1</v>
      </c>
      <c r="J93">
        <v>24</v>
      </c>
      <c r="K93">
        <v>0</v>
      </c>
      <c r="L93">
        <v>0</v>
      </c>
      <c r="M93">
        <v>3.4</v>
      </c>
      <c r="N93">
        <v>6</v>
      </c>
      <c r="O93">
        <v>0</v>
      </c>
      <c r="P93">
        <v>0</v>
      </c>
      <c r="Q93">
        <v>0</v>
      </c>
      <c r="R93">
        <v>0</v>
      </c>
      <c r="S93">
        <v>0</v>
      </c>
      <c r="T93">
        <v>0.2</v>
      </c>
      <c r="U93">
        <v>2.4</v>
      </c>
      <c r="V93">
        <v>6.4</v>
      </c>
      <c r="W93">
        <f t="shared" si="4"/>
        <v>-88.6</v>
      </c>
    </row>
    <row r="94" spans="1:23" x14ac:dyDescent="0.25">
      <c r="A94">
        <f t="shared" si="3"/>
        <v>93</v>
      </c>
      <c r="B94">
        <v>11101</v>
      </c>
      <c r="C94" t="s">
        <v>379</v>
      </c>
      <c r="D94" t="s">
        <v>153</v>
      </c>
      <c r="E94" t="s">
        <v>292</v>
      </c>
      <c r="F94">
        <v>16</v>
      </c>
      <c r="G94">
        <v>4.0999999999999996</v>
      </c>
      <c r="H94">
        <v>3</v>
      </c>
      <c r="I94">
        <v>75</v>
      </c>
      <c r="J94">
        <v>28</v>
      </c>
      <c r="K94">
        <v>0</v>
      </c>
      <c r="L94">
        <v>0</v>
      </c>
      <c r="M94">
        <v>7</v>
      </c>
      <c r="N94">
        <v>9.3000000000000007</v>
      </c>
      <c r="O94">
        <v>0</v>
      </c>
      <c r="P94">
        <v>0</v>
      </c>
      <c r="Q94">
        <v>0</v>
      </c>
      <c r="R94">
        <v>0</v>
      </c>
      <c r="S94">
        <v>0</v>
      </c>
      <c r="T94">
        <v>0.2</v>
      </c>
      <c r="U94">
        <v>2.8</v>
      </c>
      <c r="V94">
        <v>5.8</v>
      </c>
      <c r="W94">
        <f t="shared" si="4"/>
        <v>-89.2</v>
      </c>
    </row>
    <row r="95" spans="1:23" x14ac:dyDescent="0.25">
      <c r="A95">
        <f t="shared" si="3"/>
        <v>94</v>
      </c>
      <c r="B95">
        <v>10992</v>
      </c>
      <c r="C95" t="s">
        <v>867</v>
      </c>
      <c r="D95" t="s">
        <v>153</v>
      </c>
      <c r="E95" t="s">
        <v>768</v>
      </c>
      <c r="F95">
        <v>16</v>
      </c>
      <c r="G95">
        <v>4.2</v>
      </c>
      <c r="H95">
        <v>3</v>
      </c>
      <c r="I95">
        <v>75</v>
      </c>
      <c r="J95">
        <v>25</v>
      </c>
      <c r="K95">
        <v>0</v>
      </c>
      <c r="L95">
        <v>0</v>
      </c>
      <c r="M95">
        <v>6.2</v>
      </c>
      <c r="N95">
        <v>8.3000000000000007</v>
      </c>
      <c r="O95">
        <v>0</v>
      </c>
      <c r="P95">
        <v>0</v>
      </c>
      <c r="Q95">
        <v>0</v>
      </c>
      <c r="R95">
        <v>0</v>
      </c>
      <c r="S95">
        <v>0</v>
      </c>
      <c r="T95">
        <v>0.2</v>
      </c>
      <c r="U95">
        <v>2.5</v>
      </c>
      <c r="V95">
        <v>5.5</v>
      </c>
      <c r="W95">
        <f t="shared" si="4"/>
        <v>-89.5</v>
      </c>
    </row>
    <row r="96" spans="1:23" x14ac:dyDescent="0.25">
      <c r="A96">
        <f t="shared" si="3"/>
        <v>95</v>
      </c>
      <c r="B96">
        <v>6293</v>
      </c>
      <c r="C96" t="s">
        <v>749</v>
      </c>
      <c r="D96" t="s">
        <v>153</v>
      </c>
      <c r="E96" t="s">
        <v>648</v>
      </c>
      <c r="F96">
        <v>16</v>
      </c>
      <c r="G96">
        <v>3</v>
      </c>
      <c r="H96">
        <v>2</v>
      </c>
      <c r="I96">
        <v>66.7</v>
      </c>
      <c r="J96">
        <v>22</v>
      </c>
      <c r="K96">
        <v>0</v>
      </c>
      <c r="L96">
        <v>0</v>
      </c>
      <c r="M96">
        <v>7.3</v>
      </c>
      <c r="N96">
        <v>11</v>
      </c>
      <c r="O96">
        <v>0</v>
      </c>
      <c r="P96">
        <v>0</v>
      </c>
      <c r="Q96">
        <v>0</v>
      </c>
      <c r="R96">
        <v>0</v>
      </c>
      <c r="S96">
        <v>0</v>
      </c>
      <c r="T96">
        <v>0.1</v>
      </c>
      <c r="U96">
        <v>2.2000000000000002</v>
      </c>
      <c r="V96">
        <v>4.2</v>
      </c>
      <c r="W96">
        <f t="shared" si="4"/>
        <v>-90.8</v>
      </c>
    </row>
    <row r="97" spans="1:23" x14ac:dyDescent="0.25">
      <c r="A97">
        <f t="shared" si="3"/>
        <v>96</v>
      </c>
      <c r="B97">
        <v>18094</v>
      </c>
      <c r="C97" t="s">
        <v>594</v>
      </c>
      <c r="D97" t="s">
        <v>153</v>
      </c>
      <c r="E97" t="s">
        <v>417</v>
      </c>
      <c r="F97">
        <v>16</v>
      </c>
      <c r="G97">
        <v>3.1</v>
      </c>
      <c r="H97">
        <v>2</v>
      </c>
      <c r="I97">
        <v>66.7</v>
      </c>
      <c r="J97">
        <v>11</v>
      </c>
      <c r="K97">
        <v>0</v>
      </c>
      <c r="L97">
        <v>0</v>
      </c>
      <c r="M97">
        <v>3.7</v>
      </c>
      <c r="N97">
        <v>5.5</v>
      </c>
      <c r="O97">
        <v>0</v>
      </c>
      <c r="P97">
        <v>0</v>
      </c>
      <c r="Q97">
        <v>0</v>
      </c>
      <c r="R97">
        <v>0</v>
      </c>
      <c r="S97">
        <v>0</v>
      </c>
      <c r="T97">
        <v>0.1</v>
      </c>
      <c r="U97">
        <v>1.1000000000000001</v>
      </c>
      <c r="V97">
        <v>3.1</v>
      </c>
      <c r="W97">
        <f t="shared" si="4"/>
        <v>-91.9</v>
      </c>
    </row>
    <row r="98" spans="1:23" x14ac:dyDescent="0.25">
      <c r="A98">
        <f t="shared" ref="A98:A131" si="5">_xlfn.RANK.AVG(V98,$V$2:$V$131,0)</f>
        <v>97</v>
      </c>
      <c r="B98">
        <v>16917</v>
      </c>
      <c r="C98" t="s">
        <v>369</v>
      </c>
      <c r="D98" t="s">
        <v>153</v>
      </c>
      <c r="E98" t="s">
        <v>279</v>
      </c>
      <c r="F98">
        <v>16</v>
      </c>
      <c r="G98">
        <v>1.6</v>
      </c>
      <c r="H98">
        <v>1</v>
      </c>
      <c r="I98">
        <v>50</v>
      </c>
      <c r="J98">
        <v>3</v>
      </c>
      <c r="K98">
        <v>0</v>
      </c>
      <c r="L98">
        <v>0</v>
      </c>
      <c r="M98">
        <v>1.5</v>
      </c>
      <c r="N98">
        <v>3</v>
      </c>
      <c r="O98">
        <v>0</v>
      </c>
      <c r="P98">
        <v>0</v>
      </c>
      <c r="Q98">
        <v>0</v>
      </c>
      <c r="R98">
        <v>0</v>
      </c>
      <c r="S98">
        <v>0</v>
      </c>
      <c r="T98">
        <v>0</v>
      </c>
      <c r="U98">
        <v>0.3</v>
      </c>
      <c r="V98">
        <v>1.3</v>
      </c>
      <c r="W98">
        <f t="shared" si="4"/>
        <v>-93.7</v>
      </c>
    </row>
    <row r="99" spans="1:23" x14ac:dyDescent="0.25">
      <c r="A99">
        <f t="shared" si="5"/>
        <v>98</v>
      </c>
      <c r="B99">
        <v>16954</v>
      </c>
      <c r="C99" t="s">
        <v>259</v>
      </c>
      <c r="D99" t="s">
        <v>153</v>
      </c>
      <c r="E99" t="s">
        <v>172</v>
      </c>
      <c r="F99">
        <v>16</v>
      </c>
      <c r="G99">
        <v>0</v>
      </c>
      <c r="H99">
        <v>0</v>
      </c>
      <c r="I99">
        <v>0</v>
      </c>
      <c r="J99">
        <v>4</v>
      </c>
      <c r="K99">
        <v>0</v>
      </c>
      <c r="L99">
        <v>0</v>
      </c>
      <c r="M99">
        <v>0</v>
      </c>
      <c r="N99">
        <v>0</v>
      </c>
      <c r="O99">
        <v>0</v>
      </c>
      <c r="P99">
        <v>0</v>
      </c>
      <c r="Q99">
        <v>0</v>
      </c>
      <c r="R99">
        <v>0</v>
      </c>
      <c r="S99">
        <v>0</v>
      </c>
      <c r="T99">
        <v>0</v>
      </c>
      <c r="U99">
        <v>0.4</v>
      </c>
      <c r="V99">
        <v>0.4</v>
      </c>
      <c r="W99">
        <f t="shared" si="4"/>
        <v>-94.6</v>
      </c>
    </row>
    <row r="100" spans="1:23" x14ac:dyDescent="0.25">
      <c r="A100">
        <f t="shared" si="5"/>
        <v>99</v>
      </c>
      <c r="B100">
        <v>15937</v>
      </c>
      <c r="C100" t="s">
        <v>884</v>
      </c>
      <c r="D100" t="s">
        <v>153</v>
      </c>
      <c r="E100" t="s">
        <v>783</v>
      </c>
      <c r="F100">
        <v>16</v>
      </c>
      <c r="G100">
        <v>0</v>
      </c>
      <c r="H100">
        <v>0</v>
      </c>
      <c r="I100">
        <v>0</v>
      </c>
      <c r="J100">
        <v>3</v>
      </c>
      <c r="K100">
        <v>0</v>
      </c>
      <c r="L100">
        <v>0</v>
      </c>
      <c r="M100">
        <v>0</v>
      </c>
      <c r="N100">
        <v>0</v>
      </c>
      <c r="O100">
        <v>0</v>
      </c>
      <c r="P100">
        <v>0</v>
      </c>
      <c r="Q100">
        <v>0</v>
      </c>
      <c r="R100">
        <v>0</v>
      </c>
      <c r="S100">
        <v>0</v>
      </c>
      <c r="T100">
        <v>0</v>
      </c>
      <c r="U100">
        <v>0.3</v>
      </c>
      <c r="V100">
        <v>0.3</v>
      </c>
      <c r="W100">
        <f t="shared" si="4"/>
        <v>-94.7</v>
      </c>
    </row>
    <row r="101" spans="1:23" x14ac:dyDescent="0.25">
      <c r="A101">
        <f t="shared" si="5"/>
        <v>102.5</v>
      </c>
      <c r="B101">
        <v>11017</v>
      </c>
      <c r="C101" t="s">
        <v>255</v>
      </c>
      <c r="D101" t="s">
        <v>153</v>
      </c>
      <c r="E101" t="s">
        <v>167</v>
      </c>
      <c r="F101">
        <v>16</v>
      </c>
      <c r="G101">
        <v>0</v>
      </c>
      <c r="H101">
        <v>0</v>
      </c>
      <c r="I101">
        <v>0</v>
      </c>
      <c r="J101">
        <v>1</v>
      </c>
      <c r="K101">
        <v>0</v>
      </c>
      <c r="L101">
        <v>0</v>
      </c>
      <c r="M101">
        <v>0</v>
      </c>
      <c r="N101">
        <v>0</v>
      </c>
      <c r="O101">
        <v>0</v>
      </c>
      <c r="P101">
        <v>0</v>
      </c>
      <c r="Q101">
        <v>0</v>
      </c>
      <c r="R101">
        <v>0</v>
      </c>
      <c r="S101">
        <v>0</v>
      </c>
      <c r="T101">
        <v>0</v>
      </c>
      <c r="U101">
        <v>0.1</v>
      </c>
      <c r="V101">
        <v>0.1</v>
      </c>
      <c r="W101">
        <f t="shared" si="4"/>
        <v>-94.9</v>
      </c>
    </row>
    <row r="102" spans="1:23" x14ac:dyDescent="0.25">
      <c r="A102">
        <f t="shared" si="5"/>
        <v>102.5</v>
      </c>
      <c r="B102">
        <v>18168</v>
      </c>
      <c r="C102" t="s">
        <v>262</v>
      </c>
      <c r="D102" t="s">
        <v>153</v>
      </c>
      <c r="E102" t="s">
        <v>176</v>
      </c>
      <c r="F102">
        <v>16</v>
      </c>
      <c r="G102">
        <v>0</v>
      </c>
      <c r="H102">
        <v>0</v>
      </c>
      <c r="I102">
        <v>0</v>
      </c>
      <c r="J102">
        <v>1</v>
      </c>
      <c r="K102">
        <v>0</v>
      </c>
      <c r="L102">
        <v>0</v>
      </c>
      <c r="M102">
        <v>0</v>
      </c>
      <c r="N102">
        <v>0</v>
      </c>
      <c r="O102">
        <v>0</v>
      </c>
      <c r="P102">
        <v>0</v>
      </c>
      <c r="Q102">
        <v>0</v>
      </c>
      <c r="R102">
        <v>0</v>
      </c>
      <c r="S102">
        <v>0</v>
      </c>
      <c r="T102">
        <v>0</v>
      </c>
      <c r="U102">
        <v>0.1</v>
      </c>
      <c r="V102">
        <v>0.1</v>
      </c>
      <c r="W102">
        <f t="shared" si="4"/>
        <v>-94.9</v>
      </c>
    </row>
    <row r="103" spans="1:23" x14ac:dyDescent="0.25">
      <c r="A103">
        <f t="shared" si="5"/>
        <v>102.5</v>
      </c>
      <c r="B103">
        <v>16327</v>
      </c>
      <c r="C103" t="s">
        <v>263</v>
      </c>
      <c r="D103" t="s">
        <v>153</v>
      </c>
      <c r="E103" t="s">
        <v>176</v>
      </c>
      <c r="F103">
        <v>16</v>
      </c>
      <c r="G103">
        <v>0</v>
      </c>
      <c r="H103">
        <v>0</v>
      </c>
      <c r="I103">
        <v>0</v>
      </c>
      <c r="J103">
        <v>1</v>
      </c>
      <c r="K103">
        <v>0</v>
      </c>
      <c r="L103">
        <v>0</v>
      </c>
      <c r="M103">
        <v>0</v>
      </c>
      <c r="N103">
        <v>0</v>
      </c>
      <c r="O103">
        <v>0</v>
      </c>
      <c r="P103">
        <v>0</v>
      </c>
      <c r="Q103">
        <v>0</v>
      </c>
      <c r="R103">
        <v>0</v>
      </c>
      <c r="S103">
        <v>0</v>
      </c>
      <c r="T103">
        <v>0</v>
      </c>
      <c r="U103">
        <v>0.1</v>
      </c>
      <c r="V103">
        <v>0.1</v>
      </c>
      <c r="W103">
        <f t="shared" si="4"/>
        <v>-94.9</v>
      </c>
    </row>
    <row r="104" spans="1:23" x14ac:dyDescent="0.25">
      <c r="A104">
        <f t="shared" si="5"/>
        <v>102.5</v>
      </c>
      <c r="B104">
        <v>16958</v>
      </c>
      <c r="C104" t="s">
        <v>372</v>
      </c>
      <c r="D104" t="s">
        <v>153</v>
      </c>
      <c r="E104" t="s">
        <v>283</v>
      </c>
      <c r="F104">
        <v>16</v>
      </c>
      <c r="G104">
        <v>0</v>
      </c>
      <c r="H104">
        <v>0</v>
      </c>
      <c r="I104">
        <v>0</v>
      </c>
      <c r="J104">
        <v>1</v>
      </c>
      <c r="K104">
        <v>0</v>
      </c>
      <c r="L104">
        <v>0</v>
      </c>
      <c r="M104">
        <v>0</v>
      </c>
      <c r="N104">
        <v>0</v>
      </c>
      <c r="O104">
        <v>0</v>
      </c>
      <c r="P104">
        <v>0</v>
      </c>
      <c r="Q104">
        <v>0</v>
      </c>
      <c r="R104">
        <v>0</v>
      </c>
      <c r="S104">
        <v>0</v>
      </c>
      <c r="T104">
        <v>0</v>
      </c>
      <c r="U104">
        <v>0.1</v>
      </c>
      <c r="V104">
        <v>0.1</v>
      </c>
      <c r="W104">
        <f t="shared" si="4"/>
        <v>-94.9</v>
      </c>
    </row>
    <row r="105" spans="1:23" x14ac:dyDescent="0.25">
      <c r="A105">
        <f t="shared" si="5"/>
        <v>102.5</v>
      </c>
      <c r="B105">
        <v>17807</v>
      </c>
      <c r="C105" t="s">
        <v>734</v>
      </c>
      <c r="D105" t="s">
        <v>153</v>
      </c>
      <c r="E105" t="s">
        <v>635</v>
      </c>
      <c r="F105">
        <v>16</v>
      </c>
      <c r="G105">
        <v>0</v>
      </c>
      <c r="H105">
        <v>0</v>
      </c>
      <c r="I105">
        <v>0</v>
      </c>
      <c r="J105">
        <v>1</v>
      </c>
      <c r="K105">
        <v>0</v>
      </c>
      <c r="L105">
        <v>0</v>
      </c>
      <c r="M105">
        <v>0</v>
      </c>
      <c r="N105">
        <v>0</v>
      </c>
      <c r="O105">
        <v>0</v>
      </c>
      <c r="P105">
        <v>0</v>
      </c>
      <c r="Q105">
        <v>0</v>
      </c>
      <c r="R105">
        <v>0</v>
      </c>
      <c r="S105">
        <v>0</v>
      </c>
      <c r="T105">
        <v>0</v>
      </c>
      <c r="U105">
        <v>0.1</v>
      </c>
      <c r="V105">
        <v>0.1</v>
      </c>
      <c r="W105">
        <f t="shared" si="4"/>
        <v>-94.9</v>
      </c>
    </row>
    <row r="106" spans="1:23" x14ac:dyDescent="0.25">
      <c r="A106">
        <f t="shared" si="5"/>
        <v>102.5</v>
      </c>
      <c r="B106">
        <v>18101</v>
      </c>
      <c r="C106" t="s">
        <v>735</v>
      </c>
      <c r="D106" t="s">
        <v>153</v>
      </c>
      <c r="E106" t="s">
        <v>635</v>
      </c>
      <c r="F106">
        <v>16</v>
      </c>
      <c r="G106">
        <v>0</v>
      </c>
      <c r="H106">
        <v>0</v>
      </c>
      <c r="I106">
        <v>0</v>
      </c>
      <c r="J106">
        <v>1</v>
      </c>
      <c r="K106">
        <v>0</v>
      </c>
      <c r="L106">
        <v>0</v>
      </c>
      <c r="M106">
        <v>0</v>
      </c>
      <c r="N106">
        <v>0</v>
      </c>
      <c r="O106">
        <v>0</v>
      </c>
      <c r="P106">
        <v>0</v>
      </c>
      <c r="Q106">
        <v>0</v>
      </c>
      <c r="R106">
        <v>0</v>
      </c>
      <c r="S106">
        <v>0</v>
      </c>
      <c r="T106">
        <v>0</v>
      </c>
      <c r="U106">
        <v>0.1</v>
      </c>
      <c r="V106">
        <v>0.1</v>
      </c>
      <c r="W106">
        <f t="shared" si="4"/>
        <v>-94.9</v>
      </c>
    </row>
    <row r="107" spans="1:23" x14ac:dyDescent="0.25">
      <c r="A107">
        <f t="shared" si="5"/>
        <v>118</v>
      </c>
      <c r="B107">
        <v>17154</v>
      </c>
      <c r="C107" t="s">
        <v>364</v>
      </c>
      <c r="D107" t="s">
        <v>153</v>
      </c>
      <c r="E107" t="s">
        <v>273</v>
      </c>
      <c r="F107">
        <v>16</v>
      </c>
      <c r="G107">
        <v>0</v>
      </c>
      <c r="H107">
        <v>0</v>
      </c>
      <c r="I107">
        <v>0</v>
      </c>
      <c r="J107">
        <v>0</v>
      </c>
      <c r="K107">
        <v>0</v>
      </c>
      <c r="L107">
        <v>0</v>
      </c>
      <c r="M107">
        <v>0</v>
      </c>
      <c r="N107">
        <v>0</v>
      </c>
      <c r="O107">
        <v>0</v>
      </c>
      <c r="P107">
        <v>0</v>
      </c>
      <c r="Q107">
        <v>0</v>
      </c>
      <c r="R107">
        <v>0</v>
      </c>
      <c r="S107">
        <v>0</v>
      </c>
      <c r="T107">
        <v>0</v>
      </c>
      <c r="U107">
        <v>0</v>
      </c>
      <c r="V107">
        <v>0</v>
      </c>
      <c r="W107">
        <f t="shared" si="4"/>
        <v>-95</v>
      </c>
    </row>
    <row r="108" spans="1:23" x14ac:dyDescent="0.25">
      <c r="A108">
        <f t="shared" si="5"/>
        <v>118</v>
      </c>
      <c r="B108">
        <v>11221</v>
      </c>
      <c r="C108" t="s">
        <v>365</v>
      </c>
      <c r="D108" t="s">
        <v>153</v>
      </c>
      <c r="E108" t="s">
        <v>273</v>
      </c>
      <c r="F108">
        <v>16</v>
      </c>
      <c r="G108">
        <v>0</v>
      </c>
      <c r="H108">
        <v>0</v>
      </c>
      <c r="I108">
        <v>0</v>
      </c>
      <c r="J108">
        <v>0</v>
      </c>
      <c r="K108">
        <v>0</v>
      </c>
      <c r="L108">
        <v>0</v>
      </c>
      <c r="M108">
        <v>0</v>
      </c>
      <c r="N108">
        <v>0</v>
      </c>
      <c r="O108">
        <v>0</v>
      </c>
      <c r="P108">
        <v>0</v>
      </c>
      <c r="Q108">
        <v>0</v>
      </c>
      <c r="R108">
        <v>0</v>
      </c>
      <c r="S108">
        <v>0</v>
      </c>
      <c r="T108">
        <v>0</v>
      </c>
      <c r="U108">
        <v>0</v>
      </c>
      <c r="V108">
        <v>0</v>
      </c>
      <c r="W108">
        <f t="shared" si="4"/>
        <v>-95</v>
      </c>
    </row>
    <row r="109" spans="1:23" x14ac:dyDescent="0.25">
      <c r="A109">
        <f t="shared" si="5"/>
        <v>118</v>
      </c>
      <c r="B109">
        <v>9671</v>
      </c>
      <c r="C109" t="s">
        <v>569</v>
      </c>
      <c r="D109" t="s">
        <v>153</v>
      </c>
      <c r="E109" t="s">
        <v>393</v>
      </c>
      <c r="F109">
        <v>16</v>
      </c>
      <c r="G109">
        <v>0</v>
      </c>
      <c r="H109">
        <v>0</v>
      </c>
      <c r="I109">
        <v>0</v>
      </c>
      <c r="J109">
        <v>0</v>
      </c>
      <c r="K109">
        <v>0</v>
      </c>
      <c r="L109">
        <v>0</v>
      </c>
      <c r="M109">
        <v>0</v>
      </c>
      <c r="N109">
        <v>0</v>
      </c>
      <c r="O109">
        <v>0</v>
      </c>
      <c r="P109">
        <v>0</v>
      </c>
      <c r="Q109">
        <v>0</v>
      </c>
      <c r="R109">
        <v>0</v>
      </c>
      <c r="S109">
        <v>0</v>
      </c>
      <c r="T109">
        <v>0</v>
      </c>
      <c r="U109">
        <v>0</v>
      </c>
      <c r="V109">
        <v>0</v>
      </c>
      <c r="W109">
        <f t="shared" si="4"/>
        <v>-95</v>
      </c>
    </row>
    <row r="110" spans="1:23" x14ac:dyDescent="0.25">
      <c r="A110">
        <f t="shared" si="5"/>
        <v>118</v>
      </c>
      <c r="B110">
        <v>13861</v>
      </c>
      <c r="C110" t="s">
        <v>570</v>
      </c>
      <c r="D110" t="s">
        <v>153</v>
      </c>
      <c r="E110" t="s">
        <v>393</v>
      </c>
      <c r="F110">
        <v>16</v>
      </c>
      <c r="G110">
        <v>0</v>
      </c>
      <c r="H110">
        <v>0</v>
      </c>
      <c r="I110">
        <v>0</v>
      </c>
      <c r="J110">
        <v>0</v>
      </c>
      <c r="K110">
        <v>0</v>
      </c>
      <c r="L110">
        <v>0</v>
      </c>
      <c r="M110">
        <v>0</v>
      </c>
      <c r="N110">
        <v>0</v>
      </c>
      <c r="O110">
        <v>0</v>
      </c>
      <c r="P110">
        <v>0</v>
      </c>
      <c r="Q110">
        <v>0</v>
      </c>
      <c r="R110">
        <v>0</v>
      </c>
      <c r="S110">
        <v>0</v>
      </c>
      <c r="T110">
        <v>0</v>
      </c>
      <c r="U110">
        <v>0</v>
      </c>
      <c r="V110">
        <v>0</v>
      </c>
      <c r="W110">
        <f t="shared" si="4"/>
        <v>-95</v>
      </c>
    </row>
    <row r="111" spans="1:23" x14ac:dyDescent="0.25">
      <c r="A111">
        <f t="shared" si="5"/>
        <v>118</v>
      </c>
      <c r="B111">
        <v>15367</v>
      </c>
      <c r="C111" t="s">
        <v>571</v>
      </c>
      <c r="D111" t="s">
        <v>153</v>
      </c>
      <c r="E111" t="s">
        <v>393</v>
      </c>
      <c r="F111">
        <v>16</v>
      </c>
      <c r="G111">
        <v>0</v>
      </c>
      <c r="H111">
        <v>0</v>
      </c>
      <c r="I111">
        <v>0</v>
      </c>
      <c r="J111">
        <v>0</v>
      </c>
      <c r="K111">
        <v>0</v>
      </c>
      <c r="L111">
        <v>0</v>
      </c>
      <c r="M111">
        <v>0</v>
      </c>
      <c r="N111">
        <v>0</v>
      </c>
      <c r="O111">
        <v>0</v>
      </c>
      <c r="P111">
        <v>0</v>
      </c>
      <c r="Q111">
        <v>0</v>
      </c>
      <c r="R111">
        <v>0</v>
      </c>
      <c r="S111">
        <v>0</v>
      </c>
      <c r="T111">
        <v>0</v>
      </c>
      <c r="U111">
        <v>0</v>
      </c>
      <c r="V111">
        <v>0</v>
      </c>
      <c r="W111">
        <f t="shared" si="4"/>
        <v>-95</v>
      </c>
    </row>
    <row r="112" spans="1:23" x14ac:dyDescent="0.25">
      <c r="A112">
        <f t="shared" si="5"/>
        <v>118</v>
      </c>
      <c r="B112">
        <v>11400</v>
      </c>
      <c r="C112" t="s">
        <v>572</v>
      </c>
      <c r="D112" t="s">
        <v>153</v>
      </c>
      <c r="E112" t="s">
        <v>393</v>
      </c>
      <c r="F112">
        <v>16</v>
      </c>
      <c r="G112">
        <v>0</v>
      </c>
      <c r="H112">
        <v>0</v>
      </c>
      <c r="I112">
        <v>0</v>
      </c>
      <c r="J112">
        <v>0</v>
      </c>
      <c r="K112">
        <v>0</v>
      </c>
      <c r="L112">
        <v>0</v>
      </c>
      <c r="M112">
        <v>0</v>
      </c>
      <c r="N112">
        <v>0</v>
      </c>
      <c r="O112">
        <v>0</v>
      </c>
      <c r="P112">
        <v>0</v>
      </c>
      <c r="Q112">
        <v>0</v>
      </c>
      <c r="R112">
        <v>0</v>
      </c>
      <c r="S112">
        <v>0</v>
      </c>
      <c r="T112">
        <v>0</v>
      </c>
      <c r="U112">
        <v>0</v>
      </c>
      <c r="V112">
        <v>0</v>
      </c>
      <c r="W112">
        <f t="shared" si="4"/>
        <v>-95</v>
      </c>
    </row>
    <row r="113" spans="1:23" x14ac:dyDescent="0.25">
      <c r="A113">
        <f t="shared" si="5"/>
        <v>118</v>
      </c>
      <c r="B113">
        <v>16973</v>
      </c>
      <c r="C113" t="s">
        <v>576</v>
      </c>
      <c r="D113" t="s">
        <v>153</v>
      </c>
      <c r="E113" t="s">
        <v>397</v>
      </c>
      <c r="F113">
        <v>16</v>
      </c>
      <c r="G113">
        <v>0</v>
      </c>
      <c r="H113">
        <v>0</v>
      </c>
      <c r="I113">
        <v>0</v>
      </c>
      <c r="J113">
        <v>0</v>
      </c>
      <c r="K113">
        <v>0</v>
      </c>
      <c r="L113">
        <v>0</v>
      </c>
      <c r="M113">
        <v>0</v>
      </c>
      <c r="N113">
        <v>0</v>
      </c>
      <c r="O113">
        <v>0</v>
      </c>
      <c r="P113">
        <v>0</v>
      </c>
      <c r="Q113">
        <v>0</v>
      </c>
      <c r="R113">
        <v>0</v>
      </c>
      <c r="S113">
        <v>0</v>
      </c>
      <c r="T113">
        <v>0</v>
      </c>
      <c r="U113">
        <v>0</v>
      </c>
      <c r="V113">
        <v>0</v>
      </c>
      <c r="W113">
        <f t="shared" si="4"/>
        <v>-95</v>
      </c>
    </row>
    <row r="114" spans="1:23" x14ac:dyDescent="0.25">
      <c r="A114">
        <f t="shared" si="5"/>
        <v>118</v>
      </c>
      <c r="B114">
        <v>16196</v>
      </c>
      <c r="C114" t="s">
        <v>579</v>
      </c>
      <c r="D114" t="s">
        <v>153</v>
      </c>
      <c r="E114" t="s">
        <v>400</v>
      </c>
      <c r="F114">
        <v>16</v>
      </c>
      <c r="G114">
        <v>0</v>
      </c>
      <c r="H114">
        <v>0</v>
      </c>
      <c r="I114">
        <v>0</v>
      </c>
      <c r="J114">
        <v>0</v>
      </c>
      <c r="K114">
        <v>0</v>
      </c>
      <c r="L114">
        <v>0</v>
      </c>
      <c r="M114">
        <v>0</v>
      </c>
      <c r="N114">
        <v>0</v>
      </c>
      <c r="O114">
        <v>0</v>
      </c>
      <c r="P114">
        <v>0</v>
      </c>
      <c r="Q114">
        <v>0</v>
      </c>
      <c r="R114">
        <v>0</v>
      </c>
      <c r="S114">
        <v>0</v>
      </c>
      <c r="T114">
        <v>0</v>
      </c>
      <c r="U114">
        <v>0</v>
      </c>
      <c r="V114">
        <v>0</v>
      </c>
      <c r="W114">
        <f t="shared" si="4"/>
        <v>-95</v>
      </c>
    </row>
    <row r="115" spans="1:23" x14ac:dyDescent="0.25">
      <c r="A115">
        <f t="shared" si="5"/>
        <v>118</v>
      </c>
      <c r="B115">
        <v>8428</v>
      </c>
      <c r="C115" t="s">
        <v>583</v>
      </c>
      <c r="D115" t="s">
        <v>153</v>
      </c>
      <c r="E115" t="s">
        <v>404</v>
      </c>
      <c r="F115">
        <v>16</v>
      </c>
      <c r="G115">
        <v>0</v>
      </c>
      <c r="H115">
        <v>0</v>
      </c>
      <c r="I115">
        <v>0</v>
      </c>
      <c r="J115">
        <v>0</v>
      </c>
      <c r="K115">
        <v>0</v>
      </c>
      <c r="L115">
        <v>0</v>
      </c>
      <c r="M115">
        <v>0</v>
      </c>
      <c r="N115">
        <v>0</v>
      </c>
      <c r="O115">
        <v>0</v>
      </c>
      <c r="P115">
        <v>0</v>
      </c>
      <c r="Q115">
        <v>0</v>
      </c>
      <c r="R115">
        <v>0</v>
      </c>
      <c r="S115">
        <v>0</v>
      </c>
      <c r="T115">
        <v>0</v>
      </c>
      <c r="U115">
        <v>0</v>
      </c>
      <c r="V115">
        <v>0</v>
      </c>
      <c r="W115">
        <f t="shared" si="4"/>
        <v>-95</v>
      </c>
    </row>
    <row r="116" spans="1:23" x14ac:dyDescent="0.25">
      <c r="A116">
        <f t="shared" si="5"/>
        <v>118</v>
      </c>
      <c r="B116">
        <v>17121</v>
      </c>
      <c r="C116" t="s">
        <v>590</v>
      </c>
      <c r="D116" t="s">
        <v>153</v>
      </c>
      <c r="E116" t="s">
        <v>411</v>
      </c>
      <c r="F116">
        <v>16</v>
      </c>
      <c r="G116">
        <v>0</v>
      </c>
      <c r="H116">
        <v>0</v>
      </c>
      <c r="I116">
        <v>0</v>
      </c>
      <c r="J116">
        <v>0</v>
      </c>
      <c r="K116">
        <v>0</v>
      </c>
      <c r="L116">
        <v>0</v>
      </c>
      <c r="M116">
        <v>0</v>
      </c>
      <c r="N116">
        <v>0</v>
      </c>
      <c r="O116">
        <v>0</v>
      </c>
      <c r="P116">
        <v>0</v>
      </c>
      <c r="Q116">
        <v>0</v>
      </c>
      <c r="R116">
        <v>0</v>
      </c>
      <c r="S116">
        <v>0</v>
      </c>
      <c r="T116">
        <v>0</v>
      </c>
      <c r="U116">
        <v>0</v>
      </c>
      <c r="V116">
        <v>0</v>
      </c>
      <c r="W116">
        <f t="shared" si="4"/>
        <v>-95</v>
      </c>
    </row>
    <row r="117" spans="1:23" x14ac:dyDescent="0.25">
      <c r="A117">
        <f t="shared" si="5"/>
        <v>118</v>
      </c>
      <c r="B117">
        <v>15757</v>
      </c>
      <c r="C117" t="s">
        <v>595</v>
      </c>
      <c r="D117" t="s">
        <v>153</v>
      </c>
      <c r="E117" t="s">
        <v>417</v>
      </c>
      <c r="F117">
        <v>16</v>
      </c>
      <c r="G117">
        <v>0</v>
      </c>
      <c r="H117">
        <v>0</v>
      </c>
      <c r="I117">
        <v>0</v>
      </c>
      <c r="J117">
        <v>0</v>
      </c>
      <c r="K117">
        <v>0</v>
      </c>
      <c r="L117">
        <v>0</v>
      </c>
      <c r="M117">
        <v>0</v>
      </c>
      <c r="N117">
        <v>0</v>
      </c>
      <c r="O117">
        <v>0</v>
      </c>
      <c r="P117">
        <v>0</v>
      </c>
      <c r="Q117">
        <v>0</v>
      </c>
      <c r="R117">
        <v>0</v>
      </c>
      <c r="S117">
        <v>0</v>
      </c>
      <c r="T117">
        <v>0</v>
      </c>
      <c r="U117">
        <v>0</v>
      </c>
      <c r="V117">
        <v>0</v>
      </c>
      <c r="W117">
        <f t="shared" si="4"/>
        <v>-95</v>
      </c>
    </row>
    <row r="118" spans="1:23" x14ac:dyDescent="0.25">
      <c r="A118">
        <f t="shared" si="5"/>
        <v>118</v>
      </c>
      <c r="B118">
        <v>15005</v>
      </c>
      <c r="C118" t="s">
        <v>596</v>
      </c>
      <c r="D118" t="s">
        <v>153</v>
      </c>
      <c r="E118" t="s">
        <v>417</v>
      </c>
      <c r="F118">
        <v>16</v>
      </c>
      <c r="G118">
        <v>0</v>
      </c>
      <c r="H118">
        <v>0</v>
      </c>
      <c r="I118">
        <v>0</v>
      </c>
      <c r="J118">
        <v>0</v>
      </c>
      <c r="K118">
        <v>0</v>
      </c>
      <c r="L118">
        <v>0</v>
      </c>
      <c r="M118">
        <v>0</v>
      </c>
      <c r="N118">
        <v>0</v>
      </c>
      <c r="O118">
        <v>0</v>
      </c>
      <c r="P118">
        <v>0</v>
      </c>
      <c r="Q118">
        <v>0</v>
      </c>
      <c r="R118">
        <v>0</v>
      </c>
      <c r="S118">
        <v>0</v>
      </c>
      <c r="T118">
        <v>0</v>
      </c>
      <c r="U118">
        <v>0</v>
      </c>
      <c r="V118">
        <v>0</v>
      </c>
      <c r="W118">
        <f t="shared" si="4"/>
        <v>-95</v>
      </c>
    </row>
    <row r="119" spans="1:23" x14ac:dyDescent="0.25">
      <c r="A119">
        <f t="shared" si="5"/>
        <v>118</v>
      </c>
      <c r="B119">
        <v>15371</v>
      </c>
      <c r="C119" t="s">
        <v>599</v>
      </c>
      <c r="D119" t="s">
        <v>153</v>
      </c>
      <c r="E119" t="s">
        <v>421</v>
      </c>
      <c r="F119">
        <v>16</v>
      </c>
      <c r="G119">
        <v>0</v>
      </c>
      <c r="H119">
        <v>0</v>
      </c>
      <c r="I119">
        <v>0</v>
      </c>
      <c r="J119">
        <v>0</v>
      </c>
      <c r="K119">
        <v>0</v>
      </c>
      <c r="L119">
        <v>0</v>
      </c>
      <c r="M119">
        <v>0</v>
      </c>
      <c r="N119">
        <v>0</v>
      </c>
      <c r="O119">
        <v>0</v>
      </c>
      <c r="P119">
        <v>0</v>
      </c>
      <c r="Q119">
        <v>0</v>
      </c>
      <c r="R119">
        <v>0</v>
      </c>
      <c r="S119">
        <v>0</v>
      </c>
      <c r="T119">
        <v>0</v>
      </c>
      <c r="U119">
        <v>0</v>
      </c>
      <c r="V119">
        <v>0</v>
      </c>
      <c r="W119">
        <f t="shared" si="4"/>
        <v>-95</v>
      </c>
    </row>
    <row r="120" spans="1:23" x14ac:dyDescent="0.25">
      <c r="A120">
        <f t="shared" si="5"/>
        <v>118</v>
      </c>
      <c r="B120">
        <v>18147</v>
      </c>
      <c r="C120" t="s">
        <v>600</v>
      </c>
      <c r="D120" t="s">
        <v>153</v>
      </c>
      <c r="E120" t="s">
        <v>421</v>
      </c>
      <c r="F120">
        <v>16</v>
      </c>
      <c r="G120">
        <v>0</v>
      </c>
      <c r="H120">
        <v>0</v>
      </c>
      <c r="I120">
        <v>0</v>
      </c>
      <c r="J120">
        <v>0</v>
      </c>
      <c r="K120">
        <v>0</v>
      </c>
      <c r="L120">
        <v>0</v>
      </c>
      <c r="M120">
        <v>0</v>
      </c>
      <c r="N120">
        <v>0</v>
      </c>
      <c r="O120">
        <v>0</v>
      </c>
      <c r="P120">
        <v>0</v>
      </c>
      <c r="Q120">
        <v>0</v>
      </c>
      <c r="R120">
        <v>0</v>
      </c>
      <c r="S120">
        <v>0</v>
      </c>
      <c r="T120">
        <v>0</v>
      </c>
      <c r="U120">
        <v>0</v>
      </c>
      <c r="V120">
        <v>0</v>
      </c>
      <c r="W120">
        <f t="shared" si="4"/>
        <v>-95</v>
      </c>
    </row>
    <row r="121" spans="1:23" x14ac:dyDescent="0.25">
      <c r="A121">
        <f t="shared" si="5"/>
        <v>118</v>
      </c>
      <c r="B121">
        <v>14593</v>
      </c>
      <c r="C121" t="s">
        <v>601</v>
      </c>
      <c r="D121" t="s">
        <v>153</v>
      </c>
      <c r="E121" t="s">
        <v>421</v>
      </c>
      <c r="F121">
        <v>16</v>
      </c>
      <c r="G121">
        <v>0</v>
      </c>
      <c r="H121">
        <v>0</v>
      </c>
      <c r="I121">
        <v>0</v>
      </c>
      <c r="J121">
        <v>0</v>
      </c>
      <c r="K121">
        <v>0</v>
      </c>
      <c r="L121">
        <v>0</v>
      </c>
      <c r="M121">
        <v>0</v>
      </c>
      <c r="N121">
        <v>0</v>
      </c>
      <c r="O121">
        <v>0</v>
      </c>
      <c r="P121">
        <v>0</v>
      </c>
      <c r="Q121">
        <v>0</v>
      </c>
      <c r="R121">
        <v>0</v>
      </c>
      <c r="S121">
        <v>0</v>
      </c>
      <c r="T121">
        <v>0</v>
      </c>
      <c r="U121">
        <v>0</v>
      </c>
      <c r="V121">
        <v>0</v>
      </c>
      <c r="W121">
        <f t="shared" si="4"/>
        <v>-95</v>
      </c>
    </row>
    <row r="122" spans="1:23" x14ac:dyDescent="0.25">
      <c r="A122">
        <f t="shared" si="5"/>
        <v>118</v>
      </c>
      <c r="B122">
        <v>15129</v>
      </c>
      <c r="C122" t="s">
        <v>608</v>
      </c>
      <c r="D122" t="s">
        <v>153</v>
      </c>
      <c r="E122" t="s">
        <v>430</v>
      </c>
      <c r="F122">
        <v>16</v>
      </c>
      <c r="G122">
        <v>0</v>
      </c>
      <c r="H122">
        <v>0</v>
      </c>
      <c r="I122">
        <v>0</v>
      </c>
      <c r="J122">
        <v>0</v>
      </c>
      <c r="K122">
        <v>0</v>
      </c>
      <c r="L122">
        <v>0</v>
      </c>
      <c r="M122">
        <v>0</v>
      </c>
      <c r="N122">
        <v>0</v>
      </c>
      <c r="O122">
        <v>0</v>
      </c>
      <c r="P122">
        <v>0</v>
      </c>
      <c r="Q122">
        <v>0</v>
      </c>
      <c r="R122">
        <v>0</v>
      </c>
      <c r="S122">
        <v>0</v>
      </c>
      <c r="T122">
        <v>0</v>
      </c>
      <c r="U122">
        <v>0</v>
      </c>
      <c r="V122">
        <v>0</v>
      </c>
      <c r="W122">
        <f t="shared" si="4"/>
        <v>-95</v>
      </c>
    </row>
    <row r="123" spans="1:23" x14ac:dyDescent="0.25">
      <c r="A123">
        <f t="shared" si="5"/>
        <v>118</v>
      </c>
      <c r="B123">
        <v>10291</v>
      </c>
      <c r="C123" t="s">
        <v>609</v>
      </c>
      <c r="D123" t="s">
        <v>153</v>
      </c>
      <c r="E123" t="s">
        <v>430</v>
      </c>
      <c r="F123">
        <v>16</v>
      </c>
      <c r="G123">
        <v>0</v>
      </c>
      <c r="H123">
        <v>0</v>
      </c>
      <c r="I123">
        <v>0</v>
      </c>
      <c r="J123">
        <v>0</v>
      </c>
      <c r="K123">
        <v>0</v>
      </c>
      <c r="L123">
        <v>0</v>
      </c>
      <c r="M123">
        <v>0</v>
      </c>
      <c r="N123">
        <v>0</v>
      </c>
      <c r="O123">
        <v>0</v>
      </c>
      <c r="P123">
        <v>0</v>
      </c>
      <c r="Q123">
        <v>0</v>
      </c>
      <c r="R123">
        <v>0</v>
      </c>
      <c r="S123">
        <v>0</v>
      </c>
      <c r="T123">
        <v>0</v>
      </c>
      <c r="U123">
        <v>0</v>
      </c>
      <c r="V123">
        <v>0</v>
      </c>
      <c r="W123">
        <f t="shared" si="4"/>
        <v>-95</v>
      </c>
    </row>
    <row r="124" spans="1:23" x14ac:dyDescent="0.25">
      <c r="A124">
        <f t="shared" si="5"/>
        <v>118</v>
      </c>
      <c r="B124">
        <v>4276</v>
      </c>
      <c r="C124" t="s">
        <v>739</v>
      </c>
      <c r="D124" t="s">
        <v>153</v>
      </c>
      <c r="E124" t="s">
        <v>639</v>
      </c>
      <c r="F124">
        <v>16</v>
      </c>
      <c r="G124">
        <v>0</v>
      </c>
      <c r="H124">
        <v>0</v>
      </c>
      <c r="I124">
        <v>0</v>
      </c>
      <c r="J124">
        <v>0</v>
      </c>
      <c r="K124">
        <v>0</v>
      </c>
      <c r="L124">
        <v>0</v>
      </c>
      <c r="M124">
        <v>0</v>
      </c>
      <c r="N124">
        <v>0</v>
      </c>
      <c r="O124">
        <v>0</v>
      </c>
      <c r="P124">
        <v>0</v>
      </c>
      <c r="Q124">
        <v>0</v>
      </c>
      <c r="R124">
        <v>0</v>
      </c>
      <c r="S124">
        <v>0</v>
      </c>
      <c r="T124">
        <v>0</v>
      </c>
      <c r="U124">
        <v>0</v>
      </c>
      <c r="V124">
        <v>0</v>
      </c>
      <c r="W124">
        <f t="shared" si="4"/>
        <v>-95</v>
      </c>
    </row>
    <row r="125" spans="1:23" x14ac:dyDescent="0.25">
      <c r="A125">
        <f t="shared" si="5"/>
        <v>118</v>
      </c>
      <c r="B125">
        <v>17182</v>
      </c>
      <c r="C125" t="s">
        <v>743</v>
      </c>
      <c r="D125" t="s">
        <v>153</v>
      </c>
      <c r="E125" t="s">
        <v>644</v>
      </c>
      <c r="F125">
        <v>16</v>
      </c>
      <c r="G125">
        <v>0</v>
      </c>
      <c r="H125">
        <v>0</v>
      </c>
      <c r="I125">
        <v>0</v>
      </c>
      <c r="J125">
        <v>0</v>
      </c>
      <c r="K125">
        <v>0</v>
      </c>
      <c r="L125">
        <v>0</v>
      </c>
      <c r="M125">
        <v>0</v>
      </c>
      <c r="N125">
        <v>0</v>
      </c>
      <c r="O125">
        <v>0</v>
      </c>
      <c r="P125">
        <v>0</v>
      </c>
      <c r="Q125">
        <v>0</v>
      </c>
      <c r="R125">
        <v>0</v>
      </c>
      <c r="S125">
        <v>0</v>
      </c>
      <c r="T125">
        <v>0</v>
      </c>
      <c r="U125">
        <v>0</v>
      </c>
      <c r="V125">
        <v>0</v>
      </c>
      <c r="W125">
        <f t="shared" si="4"/>
        <v>-95</v>
      </c>
    </row>
    <row r="126" spans="1:23" x14ac:dyDescent="0.25">
      <c r="A126">
        <f t="shared" si="5"/>
        <v>118</v>
      </c>
      <c r="B126">
        <v>15281</v>
      </c>
      <c r="C126" t="s">
        <v>746</v>
      </c>
      <c r="D126" t="s">
        <v>153</v>
      </c>
      <c r="E126" t="s">
        <v>107</v>
      </c>
      <c r="F126">
        <v>16</v>
      </c>
      <c r="G126">
        <v>0</v>
      </c>
      <c r="H126">
        <v>0</v>
      </c>
      <c r="I126">
        <v>0</v>
      </c>
      <c r="J126">
        <v>0</v>
      </c>
      <c r="K126">
        <v>0</v>
      </c>
      <c r="L126">
        <v>0</v>
      </c>
      <c r="M126">
        <v>0</v>
      </c>
      <c r="N126">
        <v>0</v>
      </c>
      <c r="O126">
        <v>0</v>
      </c>
      <c r="P126">
        <v>0</v>
      </c>
      <c r="Q126">
        <v>0</v>
      </c>
      <c r="R126">
        <v>0</v>
      </c>
      <c r="S126">
        <v>0</v>
      </c>
      <c r="T126">
        <v>0</v>
      </c>
      <c r="U126">
        <v>0</v>
      </c>
      <c r="V126">
        <v>0</v>
      </c>
      <c r="W126">
        <f t="shared" si="4"/>
        <v>-95</v>
      </c>
    </row>
    <row r="127" spans="1:23" x14ac:dyDescent="0.25">
      <c r="A127">
        <f t="shared" si="5"/>
        <v>118</v>
      </c>
      <c r="B127">
        <v>16395</v>
      </c>
      <c r="C127" t="s">
        <v>750</v>
      </c>
      <c r="D127" t="s">
        <v>153</v>
      </c>
      <c r="E127" t="s">
        <v>648</v>
      </c>
      <c r="F127">
        <v>16</v>
      </c>
      <c r="G127">
        <v>0</v>
      </c>
      <c r="H127">
        <v>0</v>
      </c>
      <c r="I127">
        <v>0</v>
      </c>
      <c r="J127">
        <v>0</v>
      </c>
      <c r="K127">
        <v>0</v>
      </c>
      <c r="L127">
        <v>0</v>
      </c>
      <c r="M127">
        <v>0</v>
      </c>
      <c r="N127">
        <v>0</v>
      </c>
      <c r="O127">
        <v>0</v>
      </c>
      <c r="P127">
        <v>0</v>
      </c>
      <c r="Q127">
        <v>0</v>
      </c>
      <c r="R127">
        <v>0</v>
      </c>
      <c r="S127">
        <v>0</v>
      </c>
      <c r="T127">
        <v>0</v>
      </c>
      <c r="U127">
        <v>0</v>
      </c>
      <c r="V127">
        <v>0</v>
      </c>
      <c r="W127">
        <f t="shared" si="4"/>
        <v>-95</v>
      </c>
    </row>
    <row r="128" spans="1:23" x14ac:dyDescent="0.25">
      <c r="A128">
        <f t="shared" si="5"/>
        <v>118</v>
      </c>
      <c r="B128">
        <v>14820</v>
      </c>
      <c r="C128" t="s">
        <v>868</v>
      </c>
      <c r="D128" t="s">
        <v>153</v>
      </c>
      <c r="E128" t="s">
        <v>768</v>
      </c>
      <c r="F128">
        <v>16</v>
      </c>
      <c r="G128">
        <v>0</v>
      </c>
      <c r="H128">
        <v>0</v>
      </c>
      <c r="I128">
        <v>0</v>
      </c>
      <c r="J128">
        <v>0</v>
      </c>
      <c r="K128">
        <v>0</v>
      </c>
      <c r="L128">
        <v>0</v>
      </c>
      <c r="M128">
        <v>0</v>
      </c>
      <c r="N128">
        <v>0</v>
      </c>
      <c r="O128">
        <v>0</v>
      </c>
      <c r="P128">
        <v>0</v>
      </c>
      <c r="Q128">
        <v>0</v>
      </c>
      <c r="R128">
        <v>0</v>
      </c>
      <c r="S128">
        <v>0</v>
      </c>
      <c r="T128">
        <v>0</v>
      </c>
      <c r="U128">
        <v>0</v>
      </c>
      <c r="V128">
        <v>0</v>
      </c>
      <c r="W128">
        <f t="shared" si="4"/>
        <v>-95</v>
      </c>
    </row>
    <row r="129" spans="1:23" x14ac:dyDescent="0.25">
      <c r="A129">
        <f t="shared" si="5"/>
        <v>118</v>
      </c>
      <c r="B129">
        <v>15630</v>
      </c>
      <c r="C129" t="s">
        <v>872</v>
      </c>
      <c r="D129" t="s">
        <v>153</v>
      </c>
      <c r="E129" t="s">
        <v>772</v>
      </c>
      <c r="F129">
        <v>16</v>
      </c>
      <c r="G129">
        <v>0</v>
      </c>
      <c r="H129">
        <v>0</v>
      </c>
      <c r="I129">
        <v>0</v>
      </c>
      <c r="J129">
        <v>0</v>
      </c>
      <c r="K129">
        <v>0</v>
      </c>
      <c r="L129">
        <v>0</v>
      </c>
      <c r="M129">
        <v>0</v>
      </c>
      <c r="N129">
        <v>0</v>
      </c>
      <c r="O129">
        <v>0</v>
      </c>
      <c r="P129">
        <v>0</v>
      </c>
      <c r="Q129">
        <v>0</v>
      </c>
      <c r="R129">
        <v>0</v>
      </c>
      <c r="S129">
        <v>0</v>
      </c>
      <c r="T129">
        <v>0</v>
      </c>
      <c r="U129">
        <v>0</v>
      </c>
      <c r="V129">
        <v>0</v>
      </c>
      <c r="W129">
        <f t="shared" si="4"/>
        <v>-95</v>
      </c>
    </row>
    <row r="130" spans="1:23" x14ac:dyDescent="0.25">
      <c r="A130">
        <f t="shared" si="5"/>
        <v>118</v>
      </c>
      <c r="B130">
        <v>15561</v>
      </c>
      <c r="C130" t="s">
        <v>873</v>
      </c>
      <c r="D130" t="s">
        <v>153</v>
      </c>
      <c r="E130" t="s">
        <v>772</v>
      </c>
      <c r="F130">
        <v>16</v>
      </c>
      <c r="G130">
        <v>0</v>
      </c>
      <c r="H130">
        <v>0</v>
      </c>
      <c r="I130">
        <v>0</v>
      </c>
      <c r="J130">
        <v>0</v>
      </c>
      <c r="K130">
        <v>0</v>
      </c>
      <c r="L130">
        <v>0</v>
      </c>
      <c r="M130">
        <v>0</v>
      </c>
      <c r="N130">
        <v>0</v>
      </c>
      <c r="O130">
        <v>0</v>
      </c>
      <c r="P130">
        <v>0</v>
      </c>
      <c r="Q130">
        <v>0</v>
      </c>
      <c r="R130">
        <v>0</v>
      </c>
      <c r="S130">
        <v>0</v>
      </c>
      <c r="T130">
        <v>0</v>
      </c>
      <c r="U130">
        <v>0</v>
      </c>
      <c r="V130">
        <v>0</v>
      </c>
      <c r="W130">
        <f t="shared" si="4"/>
        <v>-95</v>
      </c>
    </row>
    <row r="131" spans="1:23" x14ac:dyDescent="0.25">
      <c r="A131">
        <f t="shared" si="5"/>
        <v>118</v>
      </c>
      <c r="B131">
        <v>16254</v>
      </c>
      <c r="C131" t="s">
        <v>890</v>
      </c>
      <c r="D131" t="s">
        <v>153</v>
      </c>
      <c r="E131" t="s">
        <v>787</v>
      </c>
      <c r="F131">
        <v>16</v>
      </c>
      <c r="G131">
        <v>0</v>
      </c>
      <c r="H131">
        <v>0</v>
      </c>
      <c r="I131">
        <v>0</v>
      </c>
      <c r="J131">
        <v>0</v>
      </c>
      <c r="K131">
        <v>0</v>
      </c>
      <c r="L131">
        <v>0</v>
      </c>
      <c r="M131">
        <v>0</v>
      </c>
      <c r="N131">
        <v>0</v>
      </c>
      <c r="O131">
        <v>0</v>
      </c>
      <c r="P131">
        <v>0</v>
      </c>
      <c r="Q131">
        <v>0</v>
      </c>
      <c r="R131">
        <v>0</v>
      </c>
      <c r="S131">
        <v>0</v>
      </c>
      <c r="T131">
        <v>0</v>
      </c>
      <c r="U131">
        <v>0</v>
      </c>
      <c r="V131">
        <v>0</v>
      </c>
      <c r="W131">
        <f t="shared" ref="W131" si="6">V131-$Y$1</f>
        <v>-95</v>
      </c>
    </row>
  </sheetData>
  <autoFilter ref="A1:V131">
    <sortState ref="A2:V131">
      <sortCondition ref="A1:A13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39"/>
  <sheetViews>
    <sheetView workbookViewId="0">
      <selection activeCell="D2" sqref="D2:P2"/>
    </sheetView>
  </sheetViews>
  <sheetFormatPr defaultRowHeight="15" x14ac:dyDescent="0.25"/>
  <sheetData>
    <row r="1" spans="1:18" x14ac:dyDescent="0.25">
      <c r="A1" t="s">
        <v>51</v>
      </c>
      <c r="B1" t="s">
        <v>52</v>
      </c>
      <c r="C1" t="s">
        <v>53</v>
      </c>
      <c r="D1" t="s">
        <v>54</v>
      </c>
      <c r="E1" t="s">
        <v>55</v>
      </c>
      <c r="F1" t="s">
        <v>56</v>
      </c>
      <c r="G1" t="s">
        <v>57</v>
      </c>
      <c r="H1" t="s">
        <v>58</v>
      </c>
      <c r="I1" t="s">
        <v>59</v>
      </c>
      <c r="J1" t="s">
        <v>60</v>
      </c>
      <c r="K1" t="s">
        <v>61</v>
      </c>
      <c r="L1" t="s">
        <v>62</v>
      </c>
      <c r="M1" t="s">
        <v>63</v>
      </c>
      <c r="N1" t="s">
        <v>64</v>
      </c>
      <c r="O1" t="s">
        <v>903</v>
      </c>
      <c r="P1" t="s">
        <v>905</v>
      </c>
      <c r="Q1">
        <v>14</v>
      </c>
      <c r="R1">
        <v>108.4</v>
      </c>
    </row>
    <row r="2" spans="1:18" x14ac:dyDescent="0.25">
      <c r="A2" s="11">
        <f t="shared" ref="A2:A39" si="0">_xlfn.RANK.AVG(O2,$O$2:$O$39,0)</f>
        <v>1</v>
      </c>
      <c r="B2" s="11">
        <v>2982</v>
      </c>
      <c r="C2" s="11" t="s">
        <v>619</v>
      </c>
      <c r="D2" s="11" t="s">
        <v>158</v>
      </c>
      <c r="E2" s="11" t="s">
        <v>430</v>
      </c>
      <c r="F2" s="11">
        <v>16</v>
      </c>
      <c r="G2" s="11">
        <v>31</v>
      </c>
      <c r="H2" s="11">
        <v>38.1</v>
      </c>
      <c r="I2" s="11">
        <v>81.599999999999994</v>
      </c>
      <c r="J2" s="11">
        <v>0</v>
      </c>
      <c r="K2" s="11">
        <v>46</v>
      </c>
      <c r="L2" s="11">
        <v>47</v>
      </c>
      <c r="M2" s="11">
        <v>8.6999999999999993</v>
      </c>
      <c r="N2" s="11">
        <v>139</v>
      </c>
      <c r="O2" s="11">
        <v>131.9</v>
      </c>
      <c r="P2" s="11">
        <f>O2-$R$1</f>
        <v>23.5</v>
      </c>
    </row>
    <row r="3" spans="1:18" x14ac:dyDescent="0.25">
      <c r="A3">
        <f t="shared" si="0"/>
        <v>2</v>
      </c>
      <c r="B3">
        <v>14688</v>
      </c>
      <c r="C3" t="s">
        <v>265</v>
      </c>
      <c r="D3" t="s">
        <v>158</v>
      </c>
      <c r="E3" t="s">
        <v>167</v>
      </c>
      <c r="F3">
        <v>16</v>
      </c>
      <c r="G3">
        <v>31</v>
      </c>
      <c r="H3">
        <v>36</v>
      </c>
      <c r="I3">
        <v>86.1</v>
      </c>
      <c r="J3">
        <v>0</v>
      </c>
      <c r="K3">
        <v>37</v>
      </c>
      <c r="L3">
        <v>37</v>
      </c>
      <c r="M3">
        <v>8.1</v>
      </c>
      <c r="N3">
        <v>130</v>
      </c>
      <c r="O3">
        <v>125</v>
      </c>
      <c r="P3">
        <f t="shared" ref="P3:P39" si="1">O3-$R$1</f>
        <v>16.599999999999994</v>
      </c>
    </row>
    <row r="4" spans="1:18" x14ac:dyDescent="0.25">
      <c r="A4">
        <f t="shared" si="0"/>
        <v>3</v>
      </c>
      <c r="B4">
        <v>16191</v>
      </c>
      <c r="C4" t="s">
        <v>759</v>
      </c>
      <c r="D4" t="s">
        <v>158</v>
      </c>
      <c r="E4" t="s">
        <v>648</v>
      </c>
      <c r="F4">
        <v>16</v>
      </c>
      <c r="G4">
        <v>30</v>
      </c>
      <c r="H4">
        <v>35.700000000000003</v>
      </c>
      <c r="I4">
        <v>83.3</v>
      </c>
      <c r="J4">
        <v>0</v>
      </c>
      <c r="K4">
        <v>40</v>
      </c>
      <c r="L4">
        <v>40</v>
      </c>
      <c r="M4">
        <v>8.1</v>
      </c>
      <c r="N4">
        <v>130</v>
      </c>
      <c r="O4">
        <v>124.3</v>
      </c>
      <c r="P4">
        <f t="shared" si="1"/>
        <v>15.899999999999991</v>
      </c>
    </row>
    <row r="5" spans="1:18" x14ac:dyDescent="0.25">
      <c r="A5">
        <f t="shared" si="0"/>
        <v>4</v>
      </c>
      <c r="B5">
        <v>1694</v>
      </c>
      <c r="C5" t="s">
        <v>611</v>
      </c>
      <c r="D5" t="s">
        <v>158</v>
      </c>
      <c r="E5" t="s">
        <v>397</v>
      </c>
      <c r="F5">
        <v>16</v>
      </c>
      <c r="G5">
        <v>28</v>
      </c>
      <c r="H5">
        <v>35</v>
      </c>
      <c r="I5">
        <v>80</v>
      </c>
      <c r="J5">
        <v>0</v>
      </c>
      <c r="K5">
        <v>47</v>
      </c>
      <c r="L5">
        <v>48</v>
      </c>
      <c r="M5">
        <v>8.1999999999999993</v>
      </c>
      <c r="N5">
        <v>131</v>
      </c>
      <c r="O5">
        <v>124</v>
      </c>
      <c r="P5">
        <f t="shared" si="1"/>
        <v>15.599999999999994</v>
      </c>
    </row>
    <row r="6" spans="1:18" x14ac:dyDescent="0.25">
      <c r="A6">
        <f t="shared" si="0"/>
        <v>5</v>
      </c>
      <c r="B6">
        <v>10333</v>
      </c>
      <c r="C6" t="s">
        <v>267</v>
      </c>
      <c r="D6" t="s">
        <v>158</v>
      </c>
      <c r="E6" t="s">
        <v>176</v>
      </c>
      <c r="F6">
        <v>16</v>
      </c>
      <c r="G6">
        <v>28</v>
      </c>
      <c r="H6">
        <v>36.1</v>
      </c>
      <c r="I6">
        <v>77.8</v>
      </c>
      <c r="J6">
        <v>0</v>
      </c>
      <c r="K6">
        <v>47</v>
      </c>
      <c r="L6">
        <v>48</v>
      </c>
      <c r="M6">
        <v>8.1999999999999993</v>
      </c>
      <c r="N6">
        <v>131</v>
      </c>
      <c r="O6">
        <v>122.9</v>
      </c>
      <c r="P6">
        <f t="shared" si="1"/>
        <v>14.5</v>
      </c>
    </row>
    <row r="7" spans="1:18" x14ac:dyDescent="0.25">
      <c r="A7" s="11">
        <f t="shared" si="0"/>
        <v>6</v>
      </c>
      <c r="B7" s="11">
        <v>12594</v>
      </c>
      <c r="C7" s="11" t="s">
        <v>892</v>
      </c>
      <c r="D7" s="11" t="s">
        <v>158</v>
      </c>
      <c r="E7" s="11" t="s">
        <v>772</v>
      </c>
      <c r="F7" s="11">
        <v>16</v>
      </c>
      <c r="G7" s="11">
        <v>28</v>
      </c>
      <c r="H7" s="11">
        <v>32.799999999999997</v>
      </c>
      <c r="I7" s="11">
        <v>84.8</v>
      </c>
      <c r="J7" s="11">
        <v>0</v>
      </c>
      <c r="K7" s="11">
        <v>41</v>
      </c>
      <c r="L7" s="11">
        <v>41</v>
      </c>
      <c r="M7" s="11">
        <v>7.8</v>
      </c>
      <c r="N7" s="11">
        <v>125</v>
      </c>
      <c r="O7" s="11">
        <v>120.2</v>
      </c>
      <c r="P7" s="11">
        <f t="shared" si="1"/>
        <v>11.799999999999997</v>
      </c>
    </row>
    <row r="8" spans="1:18" x14ac:dyDescent="0.25">
      <c r="A8" s="11">
        <f t="shared" si="0"/>
        <v>7</v>
      </c>
      <c r="B8" s="11">
        <v>13109</v>
      </c>
      <c r="C8" s="11" t="s">
        <v>385</v>
      </c>
      <c r="D8" s="11" t="s">
        <v>158</v>
      </c>
      <c r="E8" s="11" t="s">
        <v>288</v>
      </c>
      <c r="F8" s="11">
        <v>16</v>
      </c>
      <c r="G8" s="11">
        <v>28</v>
      </c>
      <c r="H8" s="11">
        <v>32.799999999999997</v>
      </c>
      <c r="I8" s="11">
        <v>84.8</v>
      </c>
      <c r="J8" s="11">
        <v>0</v>
      </c>
      <c r="K8" s="11">
        <v>39</v>
      </c>
      <c r="L8" s="11">
        <v>39</v>
      </c>
      <c r="M8" s="11">
        <v>7.7</v>
      </c>
      <c r="N8" s="11">
        <v>123</v>
      </c>
      <c r="O8" s="11">
        <v>118.2</v>
      </c>
      <c r="P8" s="11">
        <f t="shared" si="1"/>
        <v>9.7999999999999972</v>
      </c>
    </row>
    <row r="9" spans="1:18" x14ac:dyDescent="0.25">
      <c r="A9">
        <f t="shared" si="0"/>
        <v>8</v>
      </c>
      <c r="B9">
        <v>16644</v>
      </c>
      <c r="C9" t="s">
        <v>157</v>
      </c>
      <c r="D9" t="s">
        <v>158</v>
      </c>
      <c r="E9" t="s">
        <v>135</v>
      </c>
      <c r="F9">
        <v>16</v>
      </c>
      <c r="G9">
        <v>27</v>
      </c>
      <c r="H9">
        <v>34.799999999999997</v>
      </c>
      <c r="I9">
        <v>77.099999999999994</v>
      </c>
      <c r="J9">
        <v>0</v>
      </c>
      <c r="K9">
        <v>44</v>
      </c>
      <c r="L9">
        <v>45</v>
      </c>
      <c r="M9">
        <v>7.8</v>
      </c>
      <c r="N9">
        <v>125</v>
      </c>
      <c r="O9">
        <v>117.2</v>
      </c>
      <c r="P9">
        <f t="shared" si="1"/>
        <v>8.7999999999999972</v>
      </c>
    </row>
    <row r="10" spans="1:18" x14ac:dyDescent="0.25">
      <c r="A10">
        <f t="shared" si="0"/>
        <v>9</v>
      </c>
      <c r="B10">
        <v>14463</v>
      </c>
      <c r="C10" t="s">
        <v>618</v>
      </c>
      <c r="D10" t="s">
        <v>158</v>
      </c>
      <c r="E10" t="s">
        <v>426</v>
      </c>
      <c r="F10">
        <v>16</v>
      </c>
      <c r="G10">
        <v>29</v>
      </c>
      <c r="H10">
        <v>35.700000000000003</v>
      </c>
      <c r="I10">
        <v>80.599999999999994</v>
      </c>
      <c r="J10">
        <v>0</v>
      </c>
      <c r="K10">
        <v>35</v>
      </c>
      <c r="L10">
        <v>36</v>
      </c>
      <c r="M10">
        <v>7.6</v>
      </c>
      <c r="N10">
        <v>122</v>
      </c>
      <c r="O10">
        <v>115.3</v>
      </c>
      <c r="P10">
        <f t="shared" si="1"/>
        <v>6.8999999999999915</v>
      </c>
    </row>
    <row r="11" spans="1:18" x14ac:dyDescent="0.25">
      <c r="A11">
        <f t="shared" si="0"/>
        <v>10</v>
      </c>
      <c r="B11">
        <v>14996</v>
      </c>
      <c r="C11" t="s">
        <v>386</v>
      </c>
      <c r="D11" t="s">
        <v>158</v>
      </c>
      <c r="E11" t="s">
        <v>292</v>
      </c>
      <c r="F11">
        <v>16</v>
      </c>
      <c r="G11">
        <v>27</v>
      </c>
      <c r="H11">
        <v>31.1</v>
      </c>
      <c r="I11">
        <v>87.1</v>
      </c>
      <c r="J11">
        <v>0</v>
      </c>
      <c r="K11">
        <v>37</v>
      </c>
      <c r="L11">
        <v>37</v>
      </c>
      <c r="M11">
        <v>7.4</v>
      </c>
      <c r="N11">
        <v>118</v>
      </c>
      <c r="O11">
        <v>113.9</v>
      </c>
      <c r="P11">
        <f t="shared" si="1"/>
        <v>5.5</v>
      </c>
    </row>
    <row r="12" spans="1:18" x14ac:dyDescent="0.25">
      <c r="A12">
        <f t="shared" si="0"/>
        <v>11</v>
      </c>
      <c r="B12">
        <v>2695</v>
      </c>
      <c r="C12" t="s">
        <v>753</v>
      </c>
      <c r="D12" t="s">
        <v>158</v>
      </c>
      <c r="E12" t="s">
        <v>635</v>
      </c>
      <c r="F12">
        <v>16</v>
      </c>
      <c r="G12">
        <v>26</v>
      </c>
      <c r="H12">
        <v>32.200000000000003</v>
      </c>
      <c r="I12">
        <v>81.2</v>
      </c>
      <c r="J12">
        <v>0</v>
      </c>
      <c r="K12">
        <v>42</v>
      </c>
      <c r="L12">
        <v>43</v>
      </c>
      <c r="M12">
        <v>7.5</v>
      </c>
      <c r="N12">
        <v>120</v>
      </c>
      <c r="O12">
        <v>113.8</v>
      </c>
      <c r="P12">
        <f t="shared" si="1"/>
        <v>5.3999999999999915</v>
      </c>
    </row>
    <row r="13" spans="1:18" x14ac:dyDescent="0.25">
      <c r="A13" s="11">
        <f t="shared" si="0"/>
        <v>12</v>
      </c>
      <c r="B13" s="11">
        <v>3258</v>
      </c>
      <c r="C13" s="11" t="s">
        <v>613</v>
      </c>
      <c r="D13" s="11" t="s">
        <v>158</v>
      </c>
      <c r="E13" s="11" t="s">
        <v>404</v>
      </c>
      <c r="F13" s="11">
        <v>16</v>
      </c>
      <c r="G13" s="11">
        <v>27</v>
      </c>
      <c r="H13" s="11">
        <v>34</v>
      </c>
      <c r="I13" s="11">
        <v>79.400000000000006</v>
      </c>
      <c r="J13" s="11">
        <v>0</v>
      </c>
      <c r="K13" s="11">
        <v>38</v>
      </c>
      <c r="L13" s="11">
        <v>39</v>
      </c>
      <c r="M13" s="11">
        <v>7.4</v>
      </c>
      <c r="N13" s="11">
        <v>119</v>
      </c>
      <c r="O13" s="11">
        <v>112</v>
      </c>
      <c r="P13" s="11">
        <f t="shared" si="1"/>
        <v>3.5999999999999943</v>
      </c>
    </row>
    <row r="14" spans="1:18" x14ac:dyDescent="0.25">
      <c r="A14">
        <f t="shared" si="0"/>
        <v>13</v>
      </c>
      <c r="B14">
        <v>16301</v>
      </c>
      <c r="C14" t="s">
        <v>615</v>
      </c>
      <c r="D14" t="s">
        <v>158</v>
      </c>
      <c r="E14" t="s">
        <v>411</v>
      </c>
      <c r="F14">
        <v>16</v>
      </c>
      <c r="G14">
        <v>26</v>
      </c>
      <c r="H14">
        <v>32.799999999999997</v>
      </c>
      <c r="I14">
        <v>78.8</v>
      </c>
      <c r="J14">
        <v>0</v>
      </c>
      <c r="K14">
        <v>40</v>
      </c>
      <c r="L14">
        <v>41</v>
      </c>
      <c r="M14">
        <v>7.4</v>
      </c>
      <c r="N14">
        <v>118</v>
      </c>
      <c r="O14">
        <v>111.2</v>
      </c>
      <c r="P14">
        <f t="shared" si="1"/>
        <v>2.7999999999999972</v>
      </c>
    </row>
    <row r="15" spans="1:18" x14ac:dyDescent="0.25">
      <c r="A15">
        <f t="shared" si="0"/>
        <v>14</v>
      </c>
      <c r="B15">
        <v>11735</v>
      </c>
      <c r="C15" t="s">
        <v>381</v>
      </c>
      <c r="D15" t="s">
        <v>158</v>
      </c>
      <c r="E15" t="s">
        <v>279</v>
      </c>
      <c r="F15">
        <v>16</v>
      </c>
      <c r="G15">
        <v>23</v>
      </c>
      <c r="H15">
        <v>27.6</v>
      </c>
      <c r="I15">
        <v>82.1</v>
      </c>
      <c r="J15">
        <v>0</v>
      </c>
      <c r="K15">
        <v>44</v>
      </c>
      <c r="L15">
        <v>44</v>
      </c>
      <c r="M15">
        <v>7.1</v>
      </c>
      <c r="N15">
        <v>113</v>
      </c>
      <c r="O15">
        <v>108.4</v>
      </c>
      <c r="P15">
        <f t="shared" si="1"/>
        <v>0</v>
      </c>
    </row>
    <row r="16" spans="1:18" x14ac:dyDescent="0.25">
      <c r="A16">
        <f t="shared" si="0"/>
        <v>15</v>
      </c>
      <c r="B16">
        <v>11694</v>
      </c>
      <c r="C16" t="s">
        <v>755</v>
      </c>
      <c r="D16" t="s">
        <v>158</v>
      </c>
      <c r="E16" t="s">
        <v>639</v>
      </c>
      <c r="F16">
        <v>16</v>
      </c>
      <c r="G16">
        <v>26</v>
      </c>
      <c r="H16">
        <v>33.5</v>
      </c>
      <c r="I16">
        <v>76.5</v>
      </c>
      <c r="J16">
        <v>0</v>
      </c>
      <c r="K16">
        <v>36</v>
      </c>
      <c r="L16">
        <v>37</v>
      </c>
      <c r="M16">
        <v>7.1</v>
      </c>
      <c r="N16">
        <v>114</v>
      </c>
      <c r="O16">
        <v>106.5</v>
      </c>
      <c r="P16">
        <f t="shared" si="1"/>
        <v>-1.9000000000000057</v>
      </c>
    </row>
    <row r="17" spans="1:16" x14ac:dyDescent="0.25">
      <c r="A17">
        <f t="shared" si="0"/>
        <v>16</v>
      </c>
      <c r="B17">
        <v>1410</v>
      </c>
      <c r="C17" t="s">
        <v>380</v>
      </c>
      <c r="D17" t="s">
        <v>158</v>
      </c>
      <c r="E17" t="s">
        <v>273</v>
      </c>
      <c r="F17">
        <v>16</v>
      </c>
      <c r="G17">
        <v>26</v>
      </c>
      <c r="H17">
        <v>31.2</v>
      </c>
      <c r="I17">
        <v>83.9</v>
      </c>
      <c r="J17">
        <v>0</v>
      </c>
      <c r="K17">
        <v>33</v>
      </c>
      <c r="L17">
        <v>33</v>
      </c>
      <c r="M17">
        <v>6.9</v>
      </c>
      <c r="N17">
        <v>111</v>
      </c>
      <c r="O17">
        <v>105.8</v>
      </c>
      <c r="P17">
        <f t="shared" si="1"/>
        <v>-2.6000000000000085</v>
      </c>
    </row>
    <row r="18" spans="1:16" x14ac:dyDescent="0.25">
      <c r="A18">
        <f t="shared" si="0"/>
        <v>17</v>
      </c>
      <c r="B18">
        <v>3388</v>
      </c>
      <c r="C18" t="s">
        <v>264</v>
      </c>
      <c r="D18" t="s">
        <v>158</v>
      </c>
      <c r="E18" t="s">
        <v>162</v>
      </c>
      <c r="F18">
        <v>16</v>
      </c>
      <c r="G18">
        <v>25</v>
      </c>
      <c r="H18">
        <v>31.3</v>
      </c>
      <c r="I18">
        <v>80.599999999999994</v>
      </c>
      <c r="J18">
        <v>0</v>
      </c>
      <c r="K18">
        <v>37</v>
      </c>
      <c r="L18">
        <v>38</v>
      </c>
      <c r="M18">
        <v>7</v>
      </c>
      <c r="N18">
        <v>112</v>
      </c>
      <c r="O18">
        <v>105.7</v>
      </c>
      <c r="P18">
        <f t="shared" si="1"/>
        <v>-2.7000000000000028</v>
      </c>
    </row>
    <row r="19" spans="1:16" x14ac:dyDescent="0.25">
      <c r="A19">
        <f t="shared" si="0"/>
        <v>18</v>
      </c>
      <c r="B19">
        <v>17215</v>
      </c>
      <c r="C19" t="s">
        <v>614</v>
      </c>
      <c r="D19" t="s">
        <v>158</v>
      </c>
      <c r="E19" t="s">
        <v>408</v>
      </c>
      <c r="F19">
        <v>16</v>
      </c>
      <c r="G19">
        <v>25</v>
      </c>
      <c r="H19">
        <v>29.8</v>
      </c>
      <c r="I19">
        <v>83.3</v>
      </c>
      <c r="J19">
        <v>0</v>
      </c>
      <c r="K19">
        <v>35</v>
      </c>
      <c r="L19">
        <v>35</v>
      </c>
      <c r="M19">
        <v>6.9</v>
      </c>
      <c r="N19">
        <v>110</v>
      </c>
      <c r="O19">
        <v>105.2</v>
      </c>
      <c r="P19">
        <f t="shared" si="1"/>
        <v>-3.2000000000000028</v>
      </c>
    </row>
    <row r="20" spans="1:16" x14ac:dyDescent="0.25">
      <c r="A20">
        <f t="shared" si="0"/>
        <v>19</v>
      </c>
      <c r="B20">
        <v>14867</v>
      </c>
      <c r="C20" t="s">
        <v>896</v>
      </c>
      <c r="D20" t="s">
        <v>158</v>
      </c>
      <c r="E20" t="s">
        <v>787</v>
      </c>
      <c r="F20">
        <v>16</v>
      </c>
      <c r="G20">
        <v>24</v>
      </c>
      <c r="H20">
        <v>29.8</v>
      </c>
      <c r="I20">
        <v>80</v>
      </c>
      <c r="J20">
        <v>0</v>
      </c>
      <c r="K20">
        <v>37</v>
      </c>
      <c r="L20">
        <v>38</v>
      </c>
      <c r="M20">
        <v>6.8</v>
      </c>
      <c r="N20">
        <v>109</v>
      </c>
      <c r="O20">
        <v>103.2</v>
      </c>
      <c r="P20">
        <f t="shared" si="1"/>
        <v>-5.2000000000000028</v>
      </c>
    </row>
    <row r="21" spans="1:16" x14ac:dyDescent="0.25">
      <c r="A21">
        <f t="shared" si="0"/>
        <v>20</v>
      </c>
      <c r="B21">
        <v>17962</v>
      </c>
      <c r="C21" t="s">
        <v>894</v>
      </c>
      <c r="D21" t="s">
        <v>158</v>
      </c>
      <c r="E21" t="s">
        <v>779</v>
      </c>
      <c r="F21">
        <v>16</v>
      </c>
      <c r="G21">
        <v>24</v>
      </c>
      <c r="H21">
        <v>29.3</v>
      </c>
      <c r="I21">
        <v>82.8</v>
      </c>
      <c r="J21">
        <v>0</v>
      </c>
      <c r="K21">
        <v>36</v>
      </c>
      <c r="L21">
        <v>37</v>
      </c>
      <c r="M21">
        <v>6.8</v>
      </c>
      <c r="N21">
        <v>108</v>
      </c>
      <c r="O21">
        <v>102.7</v>
      </c>
      <c r="P21">
        <f t="shared" si="1"/>
        <v>-5.7000000000000028</v>
      </c>
    </row>
    <row r="22" spans="1:16" x14ac:dyDescent="0.25">
      <c r="A22">
        <f t="shared" si="0"/>
        <v>21.5</v>
      </c>
      <c r="B22">
        <v>549</v>
      </c>
      <c r="C22" t="s">
        <v>610</v>
      </c>
      <c r="D22" t="s">
        <v>158</v>
      </c>
      <c r="E22" t="s">
        <v>393</v>
      </c>
      <c r="F22">
        <v>16</v>
      </c>
      <c r="G22">
        <v>24</v>
      </c>
      <c r="H22">
        <v>29.5</v>
      </c>
      <c r="I22">
        <v>80</v>
      </c>
      <c r="J22">
        <v>0</v>
      </c>
      <c r="K22">
        <v>36</v>
      </c>
      <c r="L22">
        <v>37</v>
      </c>
      <c r="M22">
        <v>6.8</v>
      </c>
      <c r="N22">
        <v>108</v>
      </c>
      <c r="O22">
        <v>102.5</v>
      </c>
      <c r="P22">
        <f t="shared" si="1"/>
        <v>-5.9000000000000057</v>
      </c>
    </row>
    <row r="23" spans="1:16" x14ac:dyDescent="0.25">
      <c r="A23">
        <f t="shared" si="0"/>
        <v>21.5</v>
      </c>
      <c r="B23">
        <v>17139</v>
      </c>
      <c r="C23" t="s">
        <v>891</v>
      </c>
      <c r="D23" t="s">
        <v>158</v>
      </c>
      <c r="E23" t="s">
        <v>768</v>
      </c>
      <c r="F23">
        <v>16</v>
      </c>
      <c r="G23">
        <v>24</v>
      </c>
      <c r="H23">
        <v>29.5</v>
      </c>
      <c r="I23">
        <v>80</v>
      </c>
      <c r="J23">
        <v>0</v>
      </c>
      <c r="K23">
        <v>36</v>
      </c>
      <c r="L23">
        <v>37</v>
      </c>
      <c r="M23">
        <v>6.8</v>
      </c>
      <c r="N23">
        <v>108</v>
      </c>
      <c r="O23">
        <v>102.5</v>
      </c>
      <c r="P23">
        <f t="shared" si="1"/>
        <v>-5.9000000000000057</v>
      </c>
    </row>
    <row r="24" spans="1:16" x14ac:dyDescent="0.25">
      <c r="A24">
        <f t="shared" si="0"/>
        <v>23</v>
      </c>
      <c r="B24">
        <v>4354</v>
      </c>
      <c r="C24" t="s">
        <v>612</v>
      </c>
      <c r="D24" t="s">
        <v>158</v>
      </c>
      <c r="E24" t="s">
        <v>400</v>
      </c>
      <c r="F24">
        <v>16</v>
      </c>
      <c r="G24">
        <v>23</v>
      </c>
      <c r="H24">
        <v>27.6</v>
      </c>
      <c r="I24">
        <v>82.1</v>
      </c>
      <c r="J24">
        <v>0</v>
      </c>
      <c r="K24">
        <v>36</v>
      </c>
      <c r="L24">
        <v>36</v>
      </c>
      <c r="M24">
        <v>6.6</v>
      </c>
      <c r="N24">
        <v>105</v>
      </c>
      <c r="O24">
        <v>100.4</v>
      </c>
      <c r="P24">
        <f t="shared" si="1"/>
        <v>-8</v>
      </c>
    </row>
    <row r="25" spans="1:16" x14ac:dyDescent="0.25">
      <c r="A25">
        <f t="shared" si="0"/>
        <v>24</v>
      </c>
      <c r="B25">
        <v>3253</v>
      </c>
      <c r="C25" t="s">
        <v>756</v>
      </c>
      <c r="D25" t="s">
        <v>158</v>
      </c>
      <c r="E25" t="s">
        <v>644</v>
      </c>
      <c r="F25">
        <v>16</v>
      </c>
      <c r="G25">
        <v>22</v>
      </c>
      <c r="H25">
        <v>25.7</v>
      </c>
      <c r="I25">
        <v>84.6</v>
      </c>
      <c r="J25">
        <v>0</v>
      </c>
      <c r="K25">
        <v>38</v>
      </c>
      <c r="L25">
        <v>38</v>
      </c>
      <c r="M25">
        <v>6.5</v>
      </c>
      <c r="N25">
        <v>104</v>
      </c>
      <c r="O25">
        <v>100.3</v>
      </c>
      <c r="P25">
        <f t="shared" si="1"/>
        <v>-8.1000000000000085</v>
      </c>
    </row>
    <row r="26" spans="1:16" x14ac:dyDescent="0.25">
      <c r="A26">
        <f t="shared" si="0"/>
        <v>25</v>
      </c>
      <c r="B26">
        <v>1269</v>
      </c>
      <c r="C26" t="s">
        <v>266</v>
      </c>
      <c r="D26" t="s">
        <v>158</v>
      </c>
      <c r="E26" t="s">
        <v>172</v>
      </c>
      <c r="F26">
        <v>16</v>
      </c>
      <c r="G26">
        <v>24</v>
      </c>
      <c r="H26">
        <v>30</v>
      </c>
      <c r="I26">
        <v>80</v>
      </c>
      <c r="J26">
        <v>0</v>
      </c>
      <c r="K26">
        <v>34</v>
      </c>
      <c r="L26">
        <v>35</v>
      </c>
      <c r="M26">
        <v>6.6</v>
      </c>
      <c r="N26">
        <v>106</v>
      </c>
      <c r="O26">
        <v>100</v>
      </c>
      <c r="P26">
        <f t="shared" si="1"/>
        <v>-8.4000000000000057</v>
      </c>
    </row>
    <row r="27" spans="1:16" x14ac:dyDescent="0.25">
      <c r="A27">
        <f t="shared" si="0"/>
        <v>26</v>
      </c>
      <c r="B27">
        <v>16164</v>
      </c>
      <c r="C27" t="s">
        <v>383</v>
      </c>
      <c r="D27" t="s">
        <v>158</v>
      </c>
      <c r="E27" t="s">
        <v>283</v>
      </c>
      <c r="F27">
        <v>16</v>
      </c>
      <c r="G27">
        <v>25</v>
      </c>
      <c r="H27">
        <v>29.5</v>
      </c>
      <c r="I27">
        <v>83.3</v>
      </c>
      <c r="J27">
        <v>0</v>
      </c>
      <c r="K27">
        <v>27</v>
      </c>
      <c r="L27">
        <v>27</v>
      </c>
      <c r="M27">
        <v>6.4</v>
      </c>
      <c r="N27">
        <v>102</v>
      </c>
      <c r="O27">
        <v>97.5</v>
      </c>
      <c r="P27">
        <f t="shared" si="1"/>
        <v>-10.900000000000006</v>
      </c>
    </row>
    <row r="28" spans="1:16" x14ac:dyDescent="0.25">
      <c r="A28">
        <f t="shared" si="0"/>
        <v>27</v>
      </c>
      <c r="B28">
        <v>14697</v>
      </c>
      <c r="C28" t="s">
        <v>616</v>
      </c>
      <c r="D28" t="s">
        <v>158</v>
      </c>
      <c r="E28" t="s">
        <v>417</v>
      </c>
      <c r="F28">
        <v>16</v>
      </c>
      <c r="G28">
        <v>23</v>
      </c>
      <c r="H28">
        <v>29.2</v>
      </c>
      <c r="I28">
        <v>79.3</v>
      </c>
      <c r="J28">
        <v>0</v>
      </c>
      <c r="K28">
        <v>30</v>
      </c>
      <c r="L28">
        <v>31</v>
      </c>
      <c r="M28">
        <v>6.2</v>
      </c>
      <c r="N28">
        <v>99</v>
      </c>
      <c r="O28">
        <v>92.8</v>
      </c>
      <c r="P28">
        <f t="shared" si="1"/>
        <v>-15.600000000000009</v>
      </c>
    </row>
    <row r="29" spans="1:16" x14ac:dyDescent="0.25">
      <c r="A29">
        <f t="shared" si="0"/>
        <v>28</v>
      </c>
      <c r="B29">
        <v>5714</v>
      </c>
      <c r="C29" t="s">
        <v>893</v>
      </c>
      <c r="D29" t="s">
        <v>158</v>
      </c>
      <c r="E29" t="s">
        <v>774</v>
      </c>
      <c r="F29">
        <v>16</v>
      </c>
      <c r="G29">
        <v>24</v>
      </c>
      <c r="H29">
        <v>30.5</v>
      </c>
      <c r="I29">
        <v>80</v>
      </c>
      <c r="J29">
        <v>0</v>
      </c>
      <c r="K29">
        <v>27</v>
      </c>
      <c r="L29">
        <v>28</v>
      </c>
      <c r="M29">
        <v>6.2</v>
      </c>
      <c r="N29">
        <v>99</v>
      </c>
      <c r="O29">
        <v>92.5</v>
      </c>
      <c r="P29">
        <f t="shared" si="1"/>
        <v>-15.900000000000006</v>
      </c>
    </row>
    <row r="30" spans="1:16" x14ac:dyDescent="0.25">
      <c r="A30">
        <f t="shared" si="0"/>
        <v>29</v>
      </c>
      <c r="B30">
        <v>14877</v>
      </c>
      <c r="C30" t="s">
        <v>757</v>
      </c>
      <c r="D30" t="s">
        <v>158</v>
      </c>
      <c r="E30" t="s">
        <v>107</v>
      </c>
      <c r="F30">
        <v>16</v>
      </c>
      <c r="G30">
        <v>21</v>
      </c>
      <c r="H30">
        <v>26.7</v>
      </c>
      <c r="I30">
        <v>77.8</v>
      </c>
      <c r="J30">
        <v>0</v>
      </c>
      <c r="K30">
        <v>34</v>
      </c>
      <c r="L30">
        <v>35</v>
      </c>
      <c r="M30">
        <v>6.1</v>
      </c>
      <c r="N30">
        <v>97</v>
      </c>
      <c r="O30">
        <v>91.3</v>
      </c>
      <c r="P30">
        <f t="shared" si="1"/>
        <v>-17.100000000000009</v>
      </c>
    </row>
    <row r="31" spans="1:16" x14ac:dyDescent="0.25">
      <c r="A31">
        <f t="shared" si="0"/>
        <v>30</v>
      </c>
      <c r="B31">
        <v>17151</v>
      </c>
      <c r="C31" t="s">
        <v>617</v>
      </c>
      <c r="D31" t="s">
        <v>158</v>
      </c>
      <c r="E31" t="s">
        <v>421</v>
      </c>
      <c r="F31">
        <v>16</v>
      </c>
      <c r="G31">
        <v>20</v>
      </c>
      <c r="H31">
        <v>25.4</v>
      </c>
      <c r="I31">
        <v>80</v>
      </c>
      <c r="J31">
        <v>0</v>
      </c>
      <c r="K31">
        <v>34</v>
      </c>
      <c r="L31">
        <v>35</v>
      </c>
      <c r="M31">
        <v>5.9</v>
      </c>
      <c r="N31">
        <v>94</v>
      </c>
      <c r="O31">
        <v>88.6</v>
      </c>
      <c r="P31">
        <f t="shared" si="1"/>
        <v>-19.800000000000011</v>
      </c>
    </row>
    <row r="32" spans="1:16" x14ac:dyDescent="0.25">
      <c r="A32">
        <f t="shared" si="0"/>
        <v>31</v>
      </c>
      <c r="B32">
        <v>16236</v>
      </c>
      <c r="C32" t="s">
        <v>758</v>
      </c>
      <c r="D32" t="s">
        <v>158</v>
      </c>
      <c r="E32" t="s">
        <v>107</v>
      </c>
      <c r="F32">
        <v>16</v>
      </c>
      <c r="G32">
        <v>19</v>
      </c>
      <c r="H32">
        <v>24.1</v>
      </c>
      <c r="I32">
        <v>79.2</v>
      </c>
      <c r="J32">
        <v>0</v>
      </c>
      <c r="K32">
        <v>34</v>
      </c>
      <c r="L32">
        <v>35</v>
      </c>
      <c r="M32">
        <v>5.7</v>
      </c>
      <c r="N32">
        <v>91</v>
      </c>
      <c r="O32">
        <v>85.9</v>
      </c>
      <c r="P32">
        <f t="shared" si="1"/>
        <v>-22.5</v>
      </c>
    </row>
    <row r="33" spans="1:16" x14ac:dyDescent="0.25">
      <c r="A33">
        <f t="shared" si="0"/>
        <v>32</v>
      </c>
      <c r="B33">
        <v>8750</v>
      </c>
      <c r="C33" t="s">
        <v>895</v>
      </c>
      <c r="D33" t="s">
        <v>158</v>
      </c>
      <c r="E33" t="s">
        <v>783</v>
      </c>
      <c r="F33">
        <v>16</v>
      </c>
      <c r="G33">
        <v>19</v>
      </c>
      <c r="H33">
        <v>24.5</v>
      </c>
      <c r="I33">
        <v>76</v>
      </c>
      <c r="J33">
        <v>0</v>
      </c>
      <c r="K33">
        <v>33</v>
      </c>
      <c r="L33">
        <v>34</v>
      </c>
      <c r="M33">
        <v>5.6</v>
      </c>
      <c r="N33">
        <v>90</v>
      </c>
      <c r="O33">
        <v>84.5</v>
      </c>
      <c r="P33">
        <f t="shared" si="1"/>
        <v>-23.900000000000006</v>
      </c>
    </row>
    <row r="34" spans="1:16" x14ac:dyDescent="0.25">
      <c r="A34">
        <f t="shared" si="0"/>
        <v>33</v>
      </c>
      <c r="B34">
        <v>12508</v>
      </c>
      <c r="C34" t="s">
        <v>760</v>
      </c>
      <c r="D34" t="s">
        <v>158</v>
      </c>
      <c r="E34" t="s">
        <v>648</v>
      </c>
      <c r="F34">
        <v>16</v>
      </c>
      <c r="G34">
        <v>17</v>
      </c>
      <c r="H34">
        <v>20</v>
      </c>
      <c r="I34">
        <v>85</v>
      </c>
      <c r="J34">
        <v>0</v>
      </c>
      <c r="K34">
        <v>21</v>
      </c>
      <c r="L34">
        <v>21</v>
      </c>
      <c r="M34">
        <v>4.5</v>
      </c>
      <c r="N34">
        <v>72</v>
      </c>
      <c r="O34">
        <v>69</v>
      </c>
      <c r="P34">
        <f t="shared" si="1"/>
        <v>-39.400000000000006</v>
      </c>
    </row>
    <row r="35" spans="1:16" x14ac:dyDescent="0.25">
      <c r="A35">
        <f t="shared" si="0"/>
        <v>34</v>
      </c>
      <c r="B35">
        <v>14740</v>
      </c>
      <c r="C35" t="s">
        <v>751</v>
      </c>
      <c r="D35" t="s">
        <v>158</v>
      </c>
      <c r="E35" t="s">
        <v>631</v>
      </c>
      <c r="F35">
        <v>16</v>
      </c>
      <c r="G35">
        <v>13</v>
      </c>
      <c r="H35">
        <v>15.5</v>
      </c>
      <c r="I35">
        <v>86.7</v>
      </c>
      <c r="J35">
        <v>0</v>
      </c>
      <c r="K35">
        <v>29</v>
      </c>
      <c r="L35">
        <v>29</v>
      </c>
      <c r="M35">
        <v>4.2</v>
      </c>
      <c r="N35">
        <v>68</v>
      </c>
      <c r="O35">
        <v>65.5</v>
      </c>
      <c r="P35">
        <f t="shared" si="1"/>
        <v>-42.900000000000006</v>
      </c>
    </row>
    <row r="36" spans="1:16" x14ac:dyDescent="0.25">
      <c r="A36">
        <f t="shared" si="0"/>
        <v>35</v>
      </c>
      <c r="B36">
        <v>10092</v>
      </c>
      <c r="C36" t="s">
        <v>752</v>
      </c>
      <c r="D36" t="s">
        <v>158</v>
      </c>
      <c r="E36" t="s">
        <v>631</v>
      </c>
      <c r="F36">
        <v>16</v>
      </c>
      <c r="G36">
        <v>8</v>
      </c>
      <c r="H36">
        <v>9.1999999999999993</v>
      </c>
      <c r="I36">
        <v>88.9</v>
      </c>
      <c r="J36">
        <v>0</v>
      </c>
      <c r="K36">
        <v>24</v>
      </c>
      <c r="L36">
        <v>24</v>
      </c>
      <c r="M36">
        <v>3</v>
      </c>
      <c r="N36">
        <v>48</v>
      </c>
      <c r="O36">
        <v>46.8</v>
      </c>
      <c r="P36">
        <f t="shared" si="1"/>
        <v>-61.600000000000009</v>
      </c>
    </row>
    <row r="37" spans="1:16" x14ac:dyDescent="0.25">
      <c r="A37">
        <f t="shared" si="0"/>
        <v>37</v>
      </c>
      <c r="B37">
        <v>16412</v>
      </c>
      <c r="C37" t="s">
        <v>382</v>
      </c>
      <c r="D37" t="s">
        <v>158</v>
      </c>
      <c r="E37" t="s">
        <v>279</v>
      </c>
      <c r="F37">
        <v>16</v>
      </c>
      <c r="G37">
        <v>0</v>
      </c>
      <c r="H37">
        <v>0</v>
      </c>
      <c r="I37">
        <v>0</v>
      </c>
      <c r="J37">
        <v>0</v>
      </c>
      <c r="K37">
        <v>0</v>
      </c>
      <c r="L37">
        <v>1</v>
      </c>
      <c r="M37">
        <v>0</v>
      </c>
      <c r="N37">
        <v>0</v>
      </c>
      <c r="O37">
        <v>0</v>
      </c>
      <c r="P37">
        <f t="shared" si="1"/>
        <v>-108.4</v>
      </c>
    </row>
    <row r="38" spans="1:16" x14ac:dyDescent="0.25">
      <c r="A38">
        <f t="shared" si="0"/>
        <v>37</v>
      </c>
      <c r="B38">
        <v>16603</v>
      </c>
      <c r="C38" t="s">
        <v>384</v>
      </c>
      <c r="D38" t="s">
        <v>158</v>
      </c>
      <c r="E38" t="s">
        <v>283</v>
      </c>
      <c r="F38">
        <v>16</v>
      </c>
      <c r="G38">
        <v>0</v>
      </c>
      <c r="H38">
        <v>0</v>
      </c>
      <c r="I38">
        <v>0</v>
      </c>
      <c r="J38">
        <v>0</v>
      </c>
      <c r="K38">
        <v>0</v>
      </c>
      <c r="L38">
        <v>1</v>
      </c>
      <c r="M38">
        <v>0</v>
      </c>
      <c r="N38">
        <v>0</v>
      </c>
      <c r="O38">
        <v>0</v>
      </c>
      <c r="P38">
        <f t="shared" si="1"/>
        <v>-108.4</v>
      </c>
    </row>
    <row r="39" spans="1:16" x14ac:dyDescent="0.25">
      <c r="A39">
        <f t="shared" si="0"/>
        <v>37</v>
      </c>
      <c r="B39">
        <v>17302</v>
      </c>
      <c r="C39" t="s">
        <v>754</v>
      </c>
      <c r="D39" t="s">
        <v>158</v>
      </c>
      <c r="E39" t="s">
        <v>635</v>
      </c>
      <c r="F39">
        <v>16</v>
      </c>
      <c r="G39">
        <v>0</v>
      </c>
      <c r="H39">
        <v>0</v>
      </c>
      <c r="I39">
        <v>0</v>
      </c>
      <c r="J39">
        <v>0</v>
      </c>
      <c r="K39">
        <v>0</v>
      </c>
      <c r="L39">
        <v>1</v>
      </c>
      <c r="M39">
        <v>0</v>
      </c>
      <c r="N39">
        <v>0</v>
      </c>
      <c r="O39">
        <v>0</v>
      </c>
      <c r="P39">
        <f t="shared" si="1"/>
        <v>-108.4</v>
      </c>
    </row>
  </sheetData>
  <autoFilter ref="A1:O39">
    <sortState ref="A2:O39">
      <sortCondition ref="A1:A39"/>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33"/>
  <sheetViews>
    <sheetView workbookViewId="0">
      <selection activeCell="C2" sqref="C2"/>
    </sheetView>
  </sheetViews>
  <sheetFormatPr defaultRowHeight="15" x14ac:dyDescent="0.25"/>
  <sheetData>
    <row r="1" spans="1:22" x14ac:dyDescent="0.25">
      <c r="A1" t="s">
        <v>51</v>
      </c>
      <c r="B1" t="s">
        <v>52</v>
      </c>
      <c r="C1" t="s">
        <v>53</v>
      </c>
      <c r="D1" t="s">
        <v>54</v>
      </c>
      <c r="E1" t="s">
        <v>55</v>
      </c>
      <c r="F1" t="s">
        <v>56</v>
      </c>
      <c r="G1" t="s">
        <v>126</v>
      </c>
      <c r="H1" t="s">
        <v>127</v>
      </c>
      <c r="I1" t="s">
        <v>128</v>
      </c>
      <c r="J1" t="s">
        <v>113</v>
      </c>
      <c r="K1" t="s">
        <v>129</v>
      </c>
      <c r="L1" t="s">
        <v>130</v>
      </c>
      <c r="M1" t="s">
        <v>131</v>
      </c>
      <c r="N1" t="s">
        <v>132</v>
      </c>
      <c r="O1" t="s">
        <v>133</v>
      </c>
      <c r="P1" t="s">
        <v>63</v>
      </c>
      <c r="Q1" t="s">
        <v>64</v>
      </c>
      <c r="R1" t="s">
        <v>903</v>
      </c>
      <c r="S1" t="s">
        <v>905</v>
      </c>
      <c r="T1" t="s">
        <v>906</v>
      </c>
      <c r="U1">
        <v>14</v>
      </c>
      <c r="V1">
        <v>109</v>
      </c>
    </row>
    <row r="2" spans="1:22" x14ac:dyDescent="0.25">
      <c r="A2" s="11">
        <f t="shared" ref="A2:A33" si="0">_xlfn.RANK.AVG(R2,$R$2:$R$33,0)</f>
        <v>1</v>
      </c>
      <c r="B2" s="11">
        <v>1</v>
      </c>
      <c r="C2" s="11" t="s">
        <v>159</v>
      </c>
      <c r="D2" s="11" t="s">
        <v>160</v>
      </c>
      <c r="E2" s="11" t="s">
        <v>135</v>
      </c>
      <c r="F2" s="11">
        <v>16</v>
      </c>
      <c r="G2" s="11">
        <v>91</v>
      </c>
      <c r="H2" s="11">
        <v>47</v>
      </c>
      <c r="I2" s="11">
        <v>106</v>
      </c>
      <c r="J2" s="11">
        <v>17</v>
      </c>
      <c r="K2" s="11">
        <v>14</v>
      </c>
      <c r="L2" s="11">
        <v>2</v>
      </c>
      <c r="M2" s="11">
        <v>3</v>
      </c>
      <c r="N2" s="11">
        <v>1</v>
      </c>
      <c r="O2" s="11">
        <v>313</v>
      </c>
      <c r="P2" s="11">
        <v>7.4</v>
      </c>
      <c r="Q2" s="11">
        <v>119</v>
      </c>
      <c r="R2" s="11">
        <v>137</v>
      </c>
      <c r="S2" s="11">
        <f>R2-$V$1</f>
        <v>28</v>
      </c>
    </row>
    <row r="3" spans="1:22" x14ac:dyDescent="0.25">
      <c r="A3" s="11">
        <f t="shared" si="0"/>
        <v>2</v>
      </c>
      <c r="B3" s="11">
        <v>49</v>
      </c>
      <c r="C3" s="11" t="s">
        <v>391</v>
      </c>
      <c r="D3" s="11" t="s">
        <v>160</v>
      </c>
      <c r="E3" s="11" t="s">
        <v>292</v>
      </c>
      <c r="F3" s="11">
        <v>16</v>
      </c>
      <c r="G3" s="11">
        <v>83</v>
      </c>
      <c r="H3" s="11">
        <v>44</v>
      </c>
      <c r="I3" s="11">
        <v>122</v>
      </c>
      <c r="J3" s="11">
        <v>18</v>
      </c>
      <c r="K3" s="11">
        <v>11</v>
      </c>
      <c r="L3" s="11">
        <v>1</v>
      </c>
      <c r="M3" s="11">
        <v>3</v>
      </c>
      <c r="N3" s="11">
        <v>2</v>
      </c>
      <c r="O3" s="11">
        <v>296</v>
      </c>
      <c r="P3" s="11">
        <v>7.6</v>
      </c>
      <c r="Q3" s="11">
        <v>121</v>
      </c>
      <c r="R3" s="11">
        <v>134</v>
      </c>
      <c r="S3" s="11">
        <f t="shared" ref="S3:S33" si="1">R3-$V$1</f>
        <v>25</v>
      </c>
    </row>
    <row r="4" spans="1:22" x14ac:dyDescent="0.25">
      <c r="A4" s="11">
        <f t="shared" si="0"/>
        <v>3.5</v>
      </c>
      <c r="B4" s="11">
        <v>67</v>
      </c>
      <c r="C4" s="11" t="s">
        <v>628</v>
      </c>
      <c r="D4" s="11" t="s">
        <v>160</v>
      </c>
      <c r="E4" s="11" t="s">
        <v>426</v>
      </c>
      <c r="F4" s="11">
        <v>16</v>
      </c>
      <c r="G4" s="11">
        <v>76</v>
      </c>
      <c r="H4" s="11">
        <v>45</v>
      </c>
      <c r="I4" s="11">
        <v>110</v>
      </c>
      <c r="J4" s="11">
        <v>16</v>
      </c>
      <c r="K4" s="11">
        <v>12</v>
      </c>
      <c r="L4" s="11">
        <v>0</v>
      </c>
      <c r="M4" s="11">
        <v>3</v>
      </c>
      <c r="N4" s="11">
        <v>2</v>
      </c>
      <c r="O4" s="11">
        <v>302</v>
      </c>
      <c r="P4" s="11">
        <v>7.4</v>
      </c>
      <c r="Q4" s="11">
        <v>119</v>
      </c>
      <c r="R4" s="11">
        <v>131</v>
      </c>
      <c r="S4" s="11">
        <f t="shared" si="1"/>
        <v>22</v>
      </c>
    </row>
    <row r="5" spans="1:22" x14ac:dyDescent="0.25">
      <c r="A5" s="11">
        <f t="shared" si="0"/>
        <v>3.5</v>
      </c>
      <c r="B5" s="11">
        <v>90</v>
      </c>
      <c r="C5" s="11" t="s">
        <v>898</v>
      </c>
      <c r="D5" s="11" t="s">
        <v>160</v>
      </c>
      <c r="E5" s="11" t="s">
        <v>772</v>
      </c>
      <c r="F5" s="11">
        <v>16</v>
      </c>
      <c r="G5" s="11">
        <v>71</v>
      </c>
      <c r="H5" s="11">
        <v>41</v>
      </c>
      <c r="I5" s="11">
        <v>102</v>
      </c>
      <c r="J5" s="11">
        <v>16</v>
      </c>
      <c r="K5" s="11">
        <v>11</v>
      </c>
      <c r="L5" s="11">
        <v>0</v>
      </c>
      <c r="M5" s="11">
        <v>4</v>
      </c>
      <c r="N5" s="11">
        <v>2</v>
      </c>
      <c r="O5" s="11">
        <v>277</v>
      </c>
      <c r="P5" s="11">
        <v>7.5</v>
      </c>
      <c r="Q5" s="11">
        <v>120</v>
      </c>
      <c r="R5" s="11">
        <v>131</v>
      </c>
      <c r="S5" s="11">
        <f t="shared" si="1"/>
        <v>22</v>
      </c>
    </row>
    <row r="6" spans="1:22" x14ac:dyDescent="0.25">
      <c r="A6" s="11">
        <f t="shared" si="0"/>
        <v>5</v>
      </c>
      <c r="B6" s="11">
        <v>5</v>
      </c>
      <c r="C6" s="11" t="s">
        <v>271</v>
      </c>
      <c r="D6" s="11" t="s">
        <v>160</v>
      </c>
      <c r="E6" s="11" t="s">
        <v>176</v>
      </c>
      <c r="F6" s="11">
        <v>16</v>
      </c>
      <c r="G6" s="11">
        <v>86</v>
      </c>
      <c r="H6" s="11">
        <v>46</v>
      </c>
      <c r="I6" s="11">
        <v>107</v>
      </c>
      <c r="J6" s="11">
        <v>17</v>
      </c>
      <c r="K6" s="11">
        <v>13</v>
      </c>
      <c r="L6" s="11">
        <v>0</v>
      </c>
      <c r="M6" s="11">
        <v>3</v>
      </c>
      <c r="N6" s="11">
        <v>1</v>
      </c>
      <c r="O6" s="11">
        <v>308</v>
      </c>
      <c r="P6" s="11">
        <v>7.3</v>
      </c>
      <c r="Q6" s="11">
        <v>117</v>
      </c>
      <c r="R6" s="11">
        <v>130</v>
      </c>
      <c r="S6" s="11">
        <f t="shared" si="1"/>
        <v>21</v>
      </c>
    </row>
    <row r="7" spans="1:22" x14ac:dyDescent="0.25">
      <c r="A7" s="11">
        <f t="shared" si="0"/>
        <v>6</v>
      </c>
      <c r="B7" s="11">
        <v>13</v>
      </c>
      <c r="C7" s="11" t="s">
        <v>622</v>
      </c>
      <c r="D7" s="11" t="s">
        <v>160</v>
      </c>
      <c r="E7" s="11" t="s">
        <v>400</v>
      </c>
      <c r="F7" s="11">
        <v>16</v>
      </c>
      <c r="G7" s="11">
        <v>82</v>
      </c>
      <c r="H7" s="11">
        <v>47</v>
      </c>
      <c r="I7" s="11">
        <v>106</v>
      </c>
      <c r="J7" s="11">
        <v>16</v>
      </c>
      <c r="K7" s="11">
        <v>12</v>
      </c>
      <c r="L7" s="11">
        <v>0</v>
      </c>
      <c r="M7" s="11">
        <v>3</v>
      </c>
      <c r="N7" s="11">
        <v>1</v>
      </c>
      <c r="O7" s="11">
        <v>313</v>
      </c>
      <c r="P7" s="11">
        <v>7.2</v>
      </c>
      <c r="Q7" s="11">
        <v>115</v>
      </c>
      <c r="R7" s="11">
        <v>127</v>
      </c>
      <c r="S7" s="11">
        <f t="shared" si="1"/>
        <v>18</v>
      </c>
    </row>
    <row r="8" spans="1:22" x14ac:dyDescent="0.25">
      <c r="A8">
        <f t="shared" si="0"/>
        <v>7</v>
      </c>
      <c r="B8">
        <v>26</v>
      </c>
      <c r="C8" t="s">
        <v>765</v>
      </c>
      <c r="D8" t="s">
        <v>160</v>
      </c>
      <c r="E8" t="s">
        <v>107</v>
      </c>
      <c r="F8">
        <v>16</v>
      </c>
      <c r="G8">
        <v>77</v>
      </c>
      <c r="H8">
        <v>42</v>
      </c>
      <c r="I8">
        <v>80</v>
      </c>
      <c r="J8">
        <v>15</v>
      </c>
      <c r="K8">
        <v>10</v>
      </c>
      <c r="L8">
        <v>1</v>
      </c>
      <c r="M8">
        <v>3</v>
      </c>
      <c r="N8">
        <v>2</v>
      </c>
      <c r="O8">
        <v>430</v>
      </c>
      <c r="P8">
        <v>7</v>
      </c>
      <c r="Q8">
        <v>112</v>
      </c>
      <c r="R8">
        <v>124</v>
      </c>
      <c r="S8">
        <f t="shared" si="1"/>
        <v>15</v>
      </c>
    </row>
    <row r="9" spans="1:22" x14ac:dyDescent="0.25">
      <c r="A9" s="11">
        <f t="shared" si="0"/>
        <v>8</v>
      </c>
      <c r="B9" s="11">
        <v>7</v>
      </c>
      <c r="C9" s="11" t="s">
        <v>388</v>
      </c>
      <c r="D9" s="11" t="s">
        <v>160</v>
      </c>
      <c r="E9" s="11" t="s">
        <v>279</v>
      </c>
      <c r="F9" s="11">
        <v>16</v>
      </c>
      <c r="G9" s="11">
        <v>71</v>
      </c>
      <c r="H9" s="11">
        <v>44</v>
      </c>
      <c r="I9" s="11">
        <v>104</v>
      </c>
      <c r="J9" s="11">
        <v>20</v>
      </c>
      <c r="K9" s="11">
        <v>10</v>
      </c>
      <c r="L9" s="11">
        <v>0</v>
      </c>
      <c r="M9" s="11">
        <v>2</v>
      </c>
      <c r="N9" s="11">
        <v>1</v>
      </c>
      <c r="O9" s="11">
        <v>279</v>
      </c>
      <c r="P9" s="11">
        <v>7</v>
      </c>
      <c r="Q9" s="11">
        <v>112</v>
      </c>
      <c r="R9" s="11">
        <v>122</v>
      </c>
      <c r="S9" s="11">
        <f t="shared" si="1"/>
        <v>13</v>
      </c>
    </row>
    <row r="10" spans="1:22" x14ac:dyDescent="0.25">
      <c r="A10">
        <f t="shared" si="0"/>
        <v>9</v>
      </c>
      <c r="B10">
        <v>28</v>
      </c>
      <c r="C10" t="s">
        <v>766</v>
      </c>
      <c r="D10" t="s">
        <v>160</v>
      </c>
      <c r="E10" t="s">
        <v>648</v>
      </c>
      <c r="F10">
        <v>16</v>
      </c>
      <c r="G10">
        <v>86</v>
      </c>
      <c r="H10">
        <v>45</v>
      </c>
      <c r="I10">
        <v>90</v>
      </c>
      <c r="J10">
        <v>15</v>
      </c>
      <c r="K10">
        <v>14</v>
      </c>
      <c r="L10">
        <v>0</v>
      </c>
      <c r="M10">
        <v>2</v>
      </c>
      <c r="N10">
        <v>1</v>
      </c>
      <c r="O10">
        <v>319</v>
      </c>
      <c r="P10">
        <v>6.7</v>
      </c>
      <c r="Q10">
        <v>107</v>
      </c>
      <c r="R10">
        <v>121</v>
      </c>
      <c r="S10">
        <f t="shared" si="1"/>
        <v>12</v>
      </c>
    </row>
    <row r="11" spans="1:22" x14ac:dyDescent="0.25">
      <c r="A11">
        <f t="shared" si="0"/>
        <v>10</v>
      </c>
      <c r="B11">
        <v>32</v>
      </c>
      <c r="C11" t="s">
        <v>626</v>
      </c>
      <c r="D11" t="s">
        <v>160</v>
      </c>
      <c r="E11" t="s">
        <v>417</v>
      </c>
      <c r="F11">
        <v>16</v>
      </c>
      <c r="G11">
        <v>96</v>
      </c>
      <c r="H11">
        <v>42</v>
      </c>
      <c r="I11">
        <v>115</v>
      </c>
      <c r="J11">
        <v>12</v>
      </c>
      <c r="K11">
        <v>13</v>
      </c>
      <c r="L11">
        <v>1</v>
      </c>
      <c r="M11">
        <v>3</v>
      </c>
      <c r="N11">
        <v>1</v>
      </c>
      <c r="O11">
        <v>330</v>
      </c>
      <c r="P11">
        <v>6.4</v>
      </c>
      <c r="Q11">
        <v>103</v>
      </c>
      <c r="R11">
        <v>118</v>
      </c>
      <c r="S11">
        <f t="shared" si="1"/>
        <v>9</v>
      </c>
    </row>
    <row r="12" spans="1:22" x14ac:dyDescent="0.25">
      <c r="A12" s="11">
        <f t="shared" si="0"/>
        <v>11</v>
      </c>
      <c r="B12" s="11">
        <v>12</v>
      </c>
      <c r="C12" s="11" t="s">
        <v>621</v>
      </c>
      <c r="D12" s="11" t="s">
        <v>160</v>
      </c>
      <c r="E12" s="11" t="s">
        <v>397</v>
      </c>
      <c r="F12" s="11">
        <v>16</v>
      </c>
      <c r="G12" s="11">
        <v>85</v>
      </c>
      <c r="H12" s="11">
        <v>45</v>
      </c>
      <c r="I12" s="11">
        <v>95</v>
      </c>
      <c r="J12" s="11">
        <v>16</v>
      </c>
      <c r="K12" s="11">
        <v>8</v>
      </c>
      <c r="L12" s="11">
        <v>0</v>
      </c>
      <c r="M12" s="11">
        <v>3</v>
      </c>
      <c r="N12" s="11">
        <v>1</v>
      </c>
      <c r="O12" s="11">
        <v>323</v>
      </c>
      <c r="P12" s="11">
        <v>6.8</v>
      </c>
      <c r="Q12" s="11">
        <v>109</v>
      </c>
      <c r="R12" s="11">
        <v>117</v>
      </c>
      <c r="S12" s="11">
        <f t="shared" si="1"/>
        <v>8</v>
      </c>
    </row>
    <row r="13" spans="1:22" x14ac:dyDescent="0.25">
      <c r="A13" s="11">
        <f t="shared" si="0"/>
        <v>12.5</v>
      </c>
      <c r="B13" s="11">
        <v>55</v>
      </c>
      <c r="C13" s="11" t="s">
        <v>625</v>
      </c>
      <c r="D13" s="11" t="s">
        <v>160</v>
      </c>
      <c r="E13" s="11" t="s">
        <v>411</v>
      </c>
      <c r="F13" s="11">
        <v>16</v>
      </c>
      <c r="G13" s="11">
        <v>80</v>
      </c>
      <c r="H13" s="11">
        <v>34</v>
      </c>
      <c r="I13" s="11">
        <v>85</v>
      </c>
      <c r="J13" s="11">
        <v>18</v>
      </c>
      <c r="K13" s="11">
        <v>10</v>
      </c>
      <c r="L13" s="11">
        <v>1</v>
      </c>
      <c r="M13" s="11">
        <v>3</v>
      </c>
      <c r="N13" s="11">
        <v>1</v>
      </c>
      <c r="O13" s="11">
        <v>287</v>
      </c>
      <c r="P13" s="11">
        <v>6.5</v>
      </c>
      <c r="Q13" s="11">
        <v>104</v>
      </c>
      <c r="R13" s="11">
        <v>116</v>
      </c>
      <c r="S13" s="11">
        <f t="shared" si="1"/>
        <v>7</v>
      </c>
    </row>
    <row r="14" spans="1:22" x14ac:dyDescent="0.25">
      <c r="A14">
        <f t="shared" si="0"/>
        <v>12.5</v>
      </c>
      <c r="B14">
        <v>21</v>
      </c>
      <c r="C14" t="s">
        <v>629</v>
      </c>
      <c r="D14" t="s">
        <v>160</v>
      </c>
      <c r="E14" t="s">
        <v>430</v>
      </c>
      <c r="F14">
        <v>16</v>
      </c>
      <c r="G14">
        <v>73</v>
      </c>
      <c r="H14">
        <v>42</v>
      </c>
      <c r="I14">
        <v>90</v>
      </c>
      <c r="J14">
        <v>15</v>
      </c>
      <c r="K14">
        <v>12</v>
      </c>
      <c r="L14">
        <v>1</v>
      </c>
      <c r="M14">
        <v>3</v>
      </c>
      <c r="N14">
        <v>0</v>
      </c>
      <c r="O14">
        <v>315</v>
      </c>
      <c r="P14">
        <v>6.4</v>
      </c>
      <c r="Q14">
        <v>102</v>
      </c>
      <c r="R14">
        <v>116</v>
      </c>
      <c r="S14">
        <f t="shared" si="1"/>
        <v>7</v>
      </c>
    </row>
    <row r="15" spans="1:22" x14ac:dyDescent="0.25">
      <c r="A15">
        <f t="shared" si="0"/>
        <v>14</v>
      </c>
      <c r="B15">
        <v>52</v>
      </c>
      <c r="C15" t="s">
        <v>624</v>
      </c>
      <c r="D15" t="s">
        <v>160</v>
      </c>
      <c r="E15" t="s">
        <v>408</v>
      </c>
      <c r="F15">
        <v>16</v>
      </c>
      <c r="G15">
        <v>84</v>
      </c>
      <c r="H15">
        <v>41</v>
      </c>
      <c r="I15">
        <v>73</v>
      </c>
      <c r="J15">
        <v>14</v>
      </c>
      <c r="K15">
        <v>11</v>
      </c>
      <c r="L15">
        <v>0</v>
      </c>
      <c r="M15">
        <v>3</v>
      </c>
      <c r="N15">
        <v>0</v>
      </c>
      <c r="O15">
        <v>448</v>
      </c>
      <c r="P15">
        <v>6.1</v>
      </c>
      <c r="Q15">
        <v>98</v>
      </c>
      <c r="R15">
        <v>109</v>
      </c>
      <c r="S15">
        <f t="shared" si="1"/>
        <v>0</v>
      </c>
    </row>
    <row r="16" spans="1:22" x14ac:dyDescent="0.25">
      <c r="A16" s="11">
        <f t="shared" si="0"/>
        <v>15.5</v>
      </c>
      <c r="B16" s="11">
        <v>82</v>
      </c>
      <c r="C16" s="11" t="s">
        <v>763</v>
      </c>
      <c r="D16" s="11" t="s">
        <v>160</v>
      </c>
      <c r="E16" s="11" t="s">
        <v>639</v>
      </c>
      <c r="F16" s="11">
        <v>16</v>
      </c>
      <c r="G16" s="11">
        <v>62</v>
      </c>
      <c r="H16" s="11">
        <v>42</v>
      </c>
      <c r="I16" s="11">
        <v>113</v>
      </c>
      <c r="J16" s="11">
        <v>16</v>
      </c>
      <c r="K16" s="11">
        <v>8</v>
      </c>
      <c r="L16" s="11">
        <v>0</v>
      </c>
      <c r="M16" s="11">
        <v>2</v>
      </c>
      <c r="N16" s="11">
        <v>1</v>
      </c>
      <c r="O16" s="11">
        <v>314</v>
      </c>
      <c r="P16" s="11">
        <v>6.2</v>
      </c>
      <c r="Q16" s="11">
        <v>100</v>
      </c>
      <c r="R16" s="11">
        <v>108</v>
      </c>
      <c r="S16" s="11">
        <f t="shared" si="1"/>
        <v>-1</v>
      </c>
    </row>
    <row r="17" spans="1:19" x14ac:dyDescent="0.25">
      <c r="A17">
        <f t="shared" si="0"/>
        <v>15.5</v>
      </c>
      <c r="B17">
        <v>97</v>
      </c>
      <c r="C17" t="s">
        <v>902</v>
      </c>
      <c r="D17" t="s">
        <v>160</v>
      </c>
      <c r="E17" t="s">
        <v>787</v>
      </c>
      <c r="F17">
        <v>16</v>
      </c>
      <c r="G17">
        <v>62</v>
      </c>
      <c r="H17">
        <v>36</v>
      </c>
      <c r="I17">
        <v>81</v>
      </c>
      <c r="J17">
        <v>14</v>
      </c>
      <c r="K17">
        <v>12</v>
      </c>
      <c r="L17">
        <v>1</v>
      </c>
      <c r="M17">
        <v>2</v>
      </c>
      <c r="N17">
        <v>1</v>
      </c>
      <c r="O17">
        <v>379</v>
      </c>
      <c r="P17">
        <v>5.9</v>
      </c>
      <c r="Q17">
        <v>94</v>
      </c>
      <c r="R17">
        <v>108</v>
      </c>
      <c r="S17">
        <f t="shared" si="1"/>
        <v>-1</v>
      </c>
    </row>
    <row r="18" spans="1:19" x14ac:dyDescent="0.25">
      <c r="A18" s="12">
        <f t="shared" si="0"/>
        <v>17.5</v>
      </c>
      <c r="B18" s="12">
        <v>75</v>
      </c>
      <c r="C18" s="12" t="s">
        <v>762</v>
      </c>
      <c r="D18" s="12" t="s">
        <v>160</v>
      </c>
      <c r="E18" s="12" t="s">
        <v>635</v>
      </c>
      <c r="F18" s="12">
        <v>16</v>
      </c>
      <c r="G18" s="12">
        <v>59</v>
      </c>
      <c r="H18" s="12">
        <v>41</v>
      </c>
      <c r="I18" s="12">
        <v>81</v>
      </c>
      <c r="J18" s="12">
        <v>17</v>
      </c>
      <c r="K18" s="12">
        <v>12</v>
      </c>
      <c r="L18" s="12">
        <v>1</v>
      </c>
      <c r="M18" s="12">
        <v>1</v>
      </c>
      <c r="N18" s="12">
        <v>0</v>
      </c>
      <c r="O18" s="12">
        <v>442</v>
      </c>
      <c r="P18" s="12">
        <v>5.8</v>
      </c>
      <c r="Q18" s="12">
        <v>93</v>
      </c>
      <c r="R18" s="12">
        <v>107</v>
      </c>
      <c r="S18" s="12">
        <f t="shared" si="1"/>
        <v>-2</v>
      </c>
    </row>
    <row r="19" spans="1:19" x14ac:dyDescent="0.25">
      <c r="A19">
        <f t="shared" si="0"/>
        <v>17.5</v>
      </c>
      <c r="B19">
        <v>83</v>
      </c>
      <c r="C19" t="s">
        <v>764</v>
      </c>
      <c r="D19" t="s">
        <v>160</v>
      </c>
      <c r="E19" t="s">
        <v>644</v>
      </c>
      <c r="F19">
        <v>16</v>
      </c>
      <c r="G19">
        <v>84</v>
      </c>
      <c r="H19">
        <v>41</v>
      </c>
      <c r="I19">
        <v>76</v>
      </c>
      <c r="J19">
        <v>13</v>
      </c>
      <c r="K19">
        <v>12</v>
      </c>
      <c r="L19">
        <v>2</v>
      </c>
      <c r="M19">
        <v>2</v>
      </c>
      <c r="N19">
        <v>0</v>
      </c>
      <c r="O19">
        <v>399</v>
      </c>
      <c r="P19">
        <v>5.7</v>
      </c>
      <c r="Q19">
        <v>91</v>
      </c>
      <c r="R19">
        <v>107</v>
      </c>
      <c r="S19">
        <f t="shared" si="1"/>
        <v>-2</v>
      </c>
    </row>
    <row r="20" spans="1:19" x14ac:dyDescent="0.25">
      <c r="A20">
        <f t="shared" si="0"/>
        <v>19</v>
      </c>
      <c r="B20">
        <v>37</v>
      </c>
      <c r="C20" t="s">
        <v>270</v>
      </c>
      <c r="D20" t="s">
        <v>160</v>
      </c>
      <c r="E20" t="s">
        <v>172</v>
      </c>
      <c r="F20">
        <v>16</v>
      </c>
      <c r="G20">
        <v>52</v>
      </c>
      <c r="H20">
        <v>34</v>
      </c>
      <c r="I20">
        <v>75</v>
      </c>
      <c r="J20">
        <v>17</v>
      </c>
      <c r="K20">
        <v>9</v>
      </c>
      <c r="L20">
        <v>1</v>
      </c>
      <c r="M20">
        <v>2</v>
      </c>
      <c r="N20">
        <v>1</v>
      </c>
      <c r="O20">
        <v>359</v>
      </c>
      <c r="P20">
        <v>5.9</v>
      </c>
      <c r="Q20">
        <v>95</v>
      </c>
      <c r="R20">
        <v>106</v>
      </c>
      <c r="S20">
        <f t="shared" si="1"/>
        <v>-3</v>
      </c>
    </row>
    <row r="21" spans="1:19" x14ac:dyDescent="0.25">
      <c r="A21">
        <f t="shared" si="0"/>
        <v>20</v>
      </c>
      <c r="B21">
        <v>95</v>
      </c>
      <c r="C21" t="s">
        <v>900</v>
      </c>
      <c r="D21" t="s">
        <v>160</v>
      </c>
      <c r="E21" t="s">
        <v>779</v>
      </c>
      <c r="F21">
        <v>16</v>
      </c>
      <c r="G21">
        <v>79</v>
      </c>
      <c r="H21">
        <v>41</v>
      </c>
      <c r="I21">
        <v>85</v>
      </c>
      <c r="J21">
        <v>12</v>
      </c>
      <c r="K21">
        <v>11</v>
      </c>
      <c r="L21">
        <v>0</v>
      </c>
      <c r="M21">
        <v>3</v>
      </c>
      <c r="N21">
        <v>0</v>
      </c>
      <c r="O21">
        <v>417</v>
      </c>
      <c r="P21">
        <v>5.9</v>
      </c>
      <c r="Q21">
        <v>94</v>
      </c>
      <c r="R21">
        <v>105</v>
      </c>
      <c r="S21">
        <f t="shared" si="1"/>
        <v>-4</v>
      </c>
    </row>
    <row r="22" spans="1:19" x14ac:dyDescent="0.25">
      <c r="A22">
        <f t="shared" si="0"/>
        <v>21.5</v>
      </c>
      <c r="B22">
        <v>64</v>
      </c>
      <c r="C22" t="s">
        <v>627</v>
      </c>
      <c r="D22" t="s">
        <v>160</v>
      </c>
      <c r="E22" t="s">
        <v>421</v>
      </c>
      <c r="F22">
        <v>16</v>
      </c>
      <c r="G22">
        <v>93</v>
      </c>
      <c r="H22">
        <v>39</v>
      </c>
      <c r="I22">
        <v>87</v>
      </c>
      <c r="J22">
        <v>14</v>
      </c>
      <c r="K22">
        <v>9</v>
      </c>
      <c r="L22">
        <v>0</v>
      </c>
      <c r="M22">
        <v>2</v>
      </c>
      <c r="N22">
        <v>1</v>
      </c>
      <c r="O22">
        <v>389</v>
      </c>
      <c r="P22">
        <v>5.9</v>
      </c>
      <c r="Q22">
        <v>94</v>
      </c>
      <c r="R22">
        <v>103</v>
      </c>
      <c r="S22">
        <f t="shared" si="1"/>
        <v>-6</v>
      </c>
    </row>
    <row r="23" spans="1:19" x14ac:dyDescent="0.25">
      <c r="A23">
        <f t="shared" si="0"/>
        <v>21.5</v>
      </c>
      <c r="B23">
        <v>84</v>
      </c>
      <c r="C23" t="s">
        <v>897</v>
      </c>
      <c r="D23" t="s">
        <v>160</v>
      </c>
      <c r="E23" t="s">
        <v>768</v>
      </c>
      <c r="F23">
        <v>16</v>
      </c>
      <c r="G23">
        <v>76</v>
      </c>
      <c r="H23">
        <v>37</v>
      </c>
      <c r="I23">
        <v>71</v>
      </c>
      <c r="J23">
        <v>15</v>
      </c>
      <c r="K23">
        <v>12</v>
      </c>
      <c r="L23">
        <v>0</v>
      </c>
      <c r="M23">
        <v>2</v>
      </c>
      <c r="N23">
        <v>0</v>
      </c>
      <c r="O23">
        <v>398</v>
      </c>
      <c r="P23">
        <v>5.7</v>
      </c>
      <c r="Q23">
        <v>91</v>
      </c>
      <c r="R23">
        <v>103</v>
      </c>
      <c r="S23">
        <f t="shared" si="1"/>
        <v>-6</v>
      </c>
    </row>
    <row r="24" spans="1:19" x14ac:dyDescent="0.25">
      <c r="A24">
        <f t="shared" si="0"/>
        <v>24</v>
      </c>
      <c r="B24">
        <v>36</v>
      </c>
      <c r="C24" t="s">
        <v>269</v>
      </c>
      <c r="D24" t="s">
        <v>160</v>
      </c>
      <c r="E24" t="s">
        <v>167</v>
      </c>
      <c r="F24">
        <v>16</v>
      </c>
      <c r="G24">
        <v>83</v>
      </c>
      <c r="H24">
        <v>41</v>
      </c>
      <c r="I24">
        <v>92</v>
      </c>
      <c r="J24">
        <v>11</v>
      </c>
      <c r="K24">
        <v>10</v>
      </c>
      <c r="L24">
        <v>0</v>
      </c>
      <c r="M24">
        <v>2</v>
      </c>
      <c r="N24">
        <v>1</v>
      </c>
      <c r="O24">
        <v>401</v>
      </c>
      <c r="P24">
        <v>5.7</v>
      </c>
      <c r="Q24">
        <v>91</v>
      </c>
      <c r="R24">
        <v>101</v>
      </c>
      <c r="S24">
        <f t="shared" si="1"/>
        <v>-8</v>
      </c>
    </row>
    <row r="25" spans="1:19" x14ac:dyDescent="0.25">
      <c r="A25">
        <f t="shared" si="0"/>
        <v>24</v>
      </c>
      <c r="B25">
        <v>38</v>
      </c>
      <c r="C25" t="s">
        <v>387</v>
      </c>
      <c r="D25" t="s">
        <v>160</v>
      </c>
      <c r="E25" t="s">
        <v>273</v>
      </c>
      <c r="F25">
        <v>16</v>
      </c>
      <c r="G25">
        <v>58</v>
      </c>
      <c r="H25">
        <v>39</v>
      </c>
      <c r="I25">
        <v>92</v>
      </c>
      <c r="J25">
        <v>12</v>
      </c>
      <c r="K25">
        <v>10</v>
      </c>
      <c r="L25">
        <v>0</v>
      </c>
      <c r="M25">
        <v>2</v>
      </c>
      <c r="N25">
        <v>1</v>
      </c>
      <c r="O25">
        <v>397</v>
      </c>
      <c r="P25">
        <v>5.7</v>
      </c>
      <c r="Q25">
        <v>91</v>
      </c>
      <c r="R25">
        <v>101</v>
      </c>
      <c r="S25">
        <f t="shared" si="1"/>
        <v>-8</v>
      </c>
    </row>
    <row r="26" spans="1:19" x14ac:dyDescent="0.25">
      <c r="A26">
        <f t="shared" si="0"/>
        <v>24</v>
      </c>
      <c r="B26">
        <v>14</v>
      </c>
      <c r="C26" t="s">
        <v>623</v>
      </c>
      <c r="D26" t="s">
        <v>160</v>
      </c>
      <c r="E26" t="s">
        <v>404</v>
      </c>
      <c r="F26">
        <v>16</v>
      </c>
      <c r="G26">
        <v>77</v>
      </c>
      <c r="H26">
        <v>37</v>
      </c>
      <c r="I26">
        <v>86</v>
      </c>
      <c r="J26">
        <v>15</v>
      </c>
      <c r="K26">
        <v>10</v>
      </c>
      <c r="L26">
        <v>1</v>
      </c>
      <c r="M26">
        <v>2</v>
      </c>
      <c r="N26">
        <v>0</v>
      </c>
      <c r="O26">
        <v>408</v>
      </c>
      <c r="P26">
        <v>5.6</v>
      </c>
      <c r="Q26">
        <v>89</v>
      </c>
      <c r="R26">
        <v>101</v>
      </c>
      <c r="S26">
        <f t="shared" si="1"/>
        <v>-8</v>
      </c>
    </row>
    <row r="27" spans="1:19" x14ac:dyDescent="0.25">
      <c r="A27">
        <f t="shared" si="0"/>
        <v>26</v>
      </c>
      <c r="B27">
        <v>11</v>
      </c>
      <c r="C27" t="s">
        <v>620</v>
      </c>
      <c r="D27" t="s">
        <v>160</v>
      </c>
      <c r="E27" t="s">
        <v>393</v>
      </c>
      <c r="F27">
        <v>16</v>
      </c>
      <c r="G27">
        <v>97</v>
      </c>
      <c r="H27">
        <v>42</v>
      </c>
      <c r="I27">
        <v>99</v>
      </c>
      <c r="J27">
        <v>12</v>
      </c>
      <c r="K27">
        <v>8</v>
      </c>
      <c r="L27">
        <v>2</v>
      </c>
      <c r="M27">
        <v>2</v>
      </c>
      <c r="N27">
        <v>0</v>
      </c>
      <c r="O27">
        <v>400</v>
      </c>
      <c r="P27">
        <v>5.4</v>
      </c>
      <c r="Q27">
        <v>86</v>
      </c>
      <c r="R27">
        <v>98</v>
      </c>
      <c r="S27">
        <f t="shared" si="1"/>
        <v>-11</v>
      </c>
    </row>
    <row r="28" spans="1:19" x14ac:dyDescent="0.25">
      <c r="A28">
        <f t="shared" si="0"/>
        <v>27</v>
      </c>
      <c r="B28">
        <v>2</v>
      </c>
      <c r="C28" t="s">
        <v>268</v>
      </c>
      <c r="D28" t="s">
        <v>160</v>
      </c>
      <c r="E28" t="s">
        <v>162</v>
      </c>
      <c r="F28">
        <v>16</v>
      </c>
      <c r="G28">
        <v>51</v>
      </c>
      <c r="H28">
        <v>29</v>
      </c>
      <c r="I28">
        <v>72</v>
      </c>
      <c r="J28">
        <v>14</v>
      </c>
      <c r="K28">
        <v>10</v>
      </c>
      <c r="L28">
        <v>0</v>
      </c>
      <c r="M28">
        <v>3</v>
      </c>
      <c r="N28">
        <v>0</v>
      </c>
      <c r="O28">
        <v>345</v>
      </c>
      <c r="P28">
        <v>5.3</v>
      </c>
      <c r="Q28">
        <v>85</v>
      </c>
      <c r="R28">
        <v>95</v>
      </c>
      <c r="S28">
        <f t="shared" si="1"/>
        <v>-14</v>
      </c>
    </row>
    <row r="29" spans="1:19" x14ac:dyDescent="0.25">
      <c r="A29">
        <f t="shared" si="0"/>
        <v>28</v>
      </c>
      <c r="B29">
        <v>34</v>
      </c>
      <c r="C29" t="s">
        <v>901</v>
      </c>
      <c r="D29" t="s">
        <v>160</v>
      </c>
      <c r="E29" t="s">
        <v>783</v>
      </c>
      <c r="F29">
        <v>16</v>
      </c>
      <c r="G29">
        <v>65</v>
      </c>
      <c r="H29">
        <v>39</v>
      </c>
      <c r="I29">
        <v>67</v>
      </c>
      <c r="J29">
        <v>12</v>
      </c>
      <c r="K29">
        <v>7</v>
      </c>
      <c r="L29">
        <v>0</v>
      </c>
      <c r="M29">
        <v>2</v>
      </c>
      <c r="N29">
        <v>0</v>
      </c>
      <c r="O29">
        <v>423</v>
      </c>
      <c r="P29">
        <v>5.0999999999999996</v>
      </c>
      <c r="Q29">
        <v>82</v>
      </c>
      <c r="R29">
        <v>89</v>
      </c>
      <c r="S29">
        <f t="shared" si="1"/>
        <v>-20</v>
      </c>
    </row>
    <row r="30" spans="1:19" x14ac:dyDescent="0.25">
      <c r="A30">
        <f t="shared" si="0"/>
        <v>29</v>
      </c>
      <c r="B30">
        <v>69</v>
      </c>
      <c r="C30" t="s">
        <v>761</v>
      </c>
      <c r="D30" t="s">
        <v>160</v>
      </c>
      <c r="E30" t="s">
        <v>631</v>
      </c>
      <c r="F30">
        <v>16</v>
      </c>
      <c r="G30">
        <v>55</v>
      </c>
      <c r="H30">
        <v>35</v>
      </c>
      <c r="I30">
        <v>64</v>
      </c>
      <c r="J30">
        <v>11</v>
      </c>
      <c r="K30">
        <v>10</v>
      </c>
      <c r="L30">
        <v>0</v>
      </c>
      <c r="M30">
        <v>1</v>
      </c>
      <c r="N30">
        <v>0</v>
      </c>
      <c r="O30">
        <v>476</v>
      </c>
      <c r="P30">
        <v>4.5999999999999996</v>
      </c>
      <c r="Q30">
        <v>73</v>
      </c>
      <c r="R30">
        <v>83</v>
      </c>
      <c r="S30">
        <f t="shared" si="1"/>
        <v>-26</v>
      </c>
    </row>
    <row r="31" spans="1:19" x14ac:dyDescent="0.25">
      <c r="A31">
        <f t="shared" si="0"/>
        <v>30</v>
      </c>
      <c r="B31">
        <v>93</v>
      </c>
      <c r="C31" t="s">
        <v>899</v>
      </c>
      <c r="D31" t="s">
        <v>160</v>
      </c>
      <c r="E31" t="s">
        <v>774</v>
      </c>
      <c r="F31">
        <v>16</v>
      </c>
      <c r="G31">
        <v>64</v>
      </c>
      <c r="H31">
        <v>34</v>
      </c>
      <c r="I31">
        <v>77</v>
      </c>
      <c r="J31">
        <v>11</v>
      </c>
      <c r="K31">
        <v>7</v>
      </c>
      <c r="L31">
        <v>0</v>
      </c>
      <c r="M31">
        <v>2</v>
      </c>
      <c r="N31">
        <v>0</v>
      </c>
      <c r="O31">
        <v>387</v>
      </c>
      <c r="P31">
        <v>4.7</v>
      </c>
      <c r="Q31">
        <v>75</v>
      </c>
      <c r="R31">
        <v>82</v>
      </c>
      <c r="S31">
        <f t="shared" si="1"/>
        <v>-27</v>
      </c>
    </row>
    <row r="32" spans="1:19" x14ac:dyDescent="0.25">
      <c r="A32">
        <f t="shared" si="0"/>
        <v>31</v>
      </c>
      <c r="B32">
        <v>8</v>
      </c>
      <c r="C32" t="s">
        <v>389</v>
      </c>
      <c r="D32" t="s">
        <v>160</v>
      </c>
      <c r="E32" t="s">
        <v>283</v>
      </c>
      <c r="F32">
        <v>16</v>
      </c>
      <c r="G32">
        <v>63</v>
      </c>
      <c r="H32">
        <v>32</v>
      </c>
      <c r="I32">
        <v>66</v>
      </c>
      <c r="J32">
        <v>9</v>
      </c>
      <c r="K32">
        <v>8</v>
      </c>
      <c r="L32">
        <v>0</v>
      </c>
      <c r="M32">
        <v>1</v>
      </c>
      <c r="N32">
        <v>1</v>
      </c>
      <c r="O32">
        <v>432</v>
      </c>
      <c r="P32">
        <v>4.4000000000000004</v>
      </c>
      <c r="Q32">
        <v>70</v>
      </c>
      <c r="R32">
        <v>78</v>
      </c>
      <c r="S32">
        <f t="shared" si="1"/>
        <v>-31</v>
      </c>
    </row>
    <row r="33" spans="1:19" x14ac:dyDescent="0.25">
      <c r="A33">
        <f t="shared" si="0"/>
        <v>32</v>
      </c>
      <c r="B33">
        <v>48</v>
      </c>
      <c r="C33" t="s">
        <v>390</v>
      </c>
      <c r="D33" t="s">
        <v>160</v>
      </c>
      <c r="E33" t="s">
        <v>288</v>
      </c>
      <c r="F33">
        <v>16</v>
      </c>
      <c r="G33">
        <v>78</v>
      </c>
      <c r="H33">
        <v>27</v>
      </c>
      <c r="I33">
        <v>70</v>
      </c>
      <c r="J33">
        <v>11</v>
      </c>
      <c r="K33">
        <v>8</v>
      </c>
      <c r="L33">
        <v>1</v>
      </c>
      <c r="M33">
        <v>1</v>
      </c>
      <c r="N33">
        <v>0</v>
      </c>
      <c r="O33">
        <v>374</v>
      </c>
      <c r="P33">
        <v>3.9</v>
      </c>
      <c r="Q33">
        <v>63</v>
      </c>
      <c r="R33">
        <v>73</v>
      </c>
      <c r="S33">
        <f t="shared" si="1"/>
        <v>-36</v>
      </c>
    </row>
  </sheetData>
  <autoFilter ref="A1:R33">
    <sortState ref="A2:R33">
      <sortCondition ref="A1:A33"/>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738"/>
  <sheetViews>
    <sheetView tabSelected="1" zoomScale="145" zoomScaleNormal="145" workbookViewId="0">
      <pane xSplit="14" ySplit="4" topLeftCell="O280" activePane="bottomRight" state="frozen"/>
      <selection pane="topRight" activeCell="O1" sqref="O1"/>
      <selection pane="bottomLeft" activeCell="A5" sqref="A5"/>
      <selection pane="bottomRight" activeCell="M4" sqref="M4"/>
    </sheetView>
  </sheetViews>
  <sheetFormatPr defaultRowHeight="15" x14ac:dyDescent="0.25"/>
  <cols>
    <col min="1" max="1" width="22.7109375" bestFit="1" customWidth="1"/>
    <col min="6" max="6" width="9.85546875" style="12" customWidth="1"/>
    <col min="12" max="12" width="14.85546875" bestFit="1" customWidth="1"/>
    <col min="13" max="13" width="34.28515625" customWidth="1"/>
  </cols>
  <sheetData>
    <row r="1" spans="1:18" x14ac:dyDescent="0.25">
      <c r="A1" t="s">
        <v>53</v>
      </c>
      <c r="B1" t="s">
        <v>907</v>
      </c>
      <c r="C1" t="s">
        <v>55</v>
      </c>
      <c r="D1" t="s">
        <v>905</v>
      </c>
      <c r="E1" t="s">
        <v>908</v>
      </c>
      <c r="G1" t="s">
        <v>910</v>
      </c>
      <c r="H1" t="s">
        <v>911</v>
      </c>
    </row>
    <row r="2" spans="1:18" x14ac:dyDescent="0.25">
      <c r="A2" s="11" t="s">
        <v>722</v>
      </c>
      <c r="B2" s="11" t="s">
        <v>145</v>
      </c>
      <c r="C2" s="11" t="s">
        <v>648</v>
      </c>
      <c r="D2" s="11">
        <v>253.39999999999998</v>
      </c>
      <c r="E2" s="11">
        <f t="shared" ref="E2:E65" si="0">_xlfn.RANK.AVG(D2,$D$2:$D$738,0)</f>
        <v>1</v>
      </c>
      <c r="F2" s="12" t="b">
        <f>color_fill(E2)</f>
        <v>0</v>
      </c>
      <c r="G2" t="str">
        <f>IF(F2,COUNTIFS(F$2:F2,TRUE),"")</f>
        <v/>
      </c>
      <c r="H2" t="str">
        <f>VLOOKUP(MOD(E2,14),$Q$2:$R$5,2,TRUE)&amp;" "&amp;_xlfn.CEILING.MATH((E2)/14)</f>
        <v>Early 1</v>
      </c>
      <c r="K2" s="2"/>
      <c r="L2" s="3"/>
      <c r="M2" s="3"/>
      <c r="N2" s="4"/>
      <c r="Q2">
        <v>0</v>
      </c>
      <c r="R2" t="s">
        <v>913</v>
      </c>
    </row>
    <row r="3" spans="1:18" x14ac:dyDescent="0.25">
      <c r="A3" s="11" t="s">
        <v>207</v>
      </c>
      <c r="B3" s="11" t="s">
        <v>145</v>
      </c>
      <c r="C3" s="11" t="s">
        <v>162</v>
      </c>
      <c r="D3" s="11">
        <v>231.2</v>
      </c>
      <c r="E3" s="11">
        <f t="shared" si="0"/>
        <v>2</v>
      </c>
      <c r="F3" s="12" t="b">
        <f>color_fill(E3)</f>
        <v>1</v>
      </c>
      <c r="G3">
        <f>IF(F3,COUNTIFS(F$2:F3,TRUE),"")</f>
        <v>1</v>
      </c>
      <c r="H3" t="str">
        <f t="shared" ref="H3:H66" si="1">VLOOKUP(MOD(E3,14),$Q$2:$R$5,2,TRUE)&amp;" "&amp;_xlfn.CEILING.MATH((E3)/14)</f>
        <v>Early 1</v>
      </c>
      <c r="K3" s="5"/>
      <c r="L3" s="10" t="s">
        <v>909</v>
      </c>
      <c r="M3" t="s">
        <v>188</v>
      </c>
      <c r="N3" s="6"/>
      <c r="Q3">
        <v>1</v>
      </c>
      <c r="R3" t="s">
        <v>912</v>
      </c>
    </row>
    <row r="4" spans="1:18" x14ac:dyDescent="0.25">
      <c r="A4" s="11" t="s">
        <v>696</v>
      </c>
      <c r="B4" s="11" t="s">
        <v>145</v>
      </c>
      <c r="C4" s="11" t="s">
        <v>635</v>
      </c>
      <c r="D4" s="11">
        <v>220.10000000000002</v>
      </c>
      <c r="E4" s="11">
        <f t="shared" si="0"/>
        <v>3</v>
      </c>
      <c r="F4" s="12" t="b">
        <f t="shared" ref="F4:F66" si="2">color_fill(E4)</f>
        <v>1</v>
      </c>
      <c r="G4">
        <f>IF(F4,COUNTIFS(F$2:F4,TRUE),"")</f>
        <v>2</v>
      </c>
      <c r="H4" t="str">
        <f t="shared" si="1"/>
        <v>Early 1</v>
      </c>
      <c r="K4" s="7"/>
      <c r="L4" s="8"/>
      <c r="M4" s="8"/>
      <c r="N4" s="9"/>
      <c r="Q4">
        <v>6</v>
      </c>
      <c r="R4" t="s">
        <v>914</v>
      </c>
    </row>
    <row r="5" spans="1:18" x14ac:dyDescent="0.25">
      <c r="A5" s="11" t="s">
        <v>508</v>
      </c>
      <c r="B5" s="11" t="s">
        <v>145</v>
      </c>
      <c r="C5" s="11" t="s">
        <v>400</v>
      </c>
      <c r="D5" s="11">
        <v>182.10000000000002</v>
      </c>
      <c r="E5" s="11">
        <f t="shared" si="0"/>
        <v>4</v>
      </c>
      <c r="F5" s="12" t="b">
        <f t="shared" si="2"/>
        <v>1</v>
      </c>
      <c r="G5">
        <f>IF(F5,COUNTIFS(F$2:F5,TRUE),"")</f>
        <v>3</v>
      </c>
      <c r="H5" t="str">
        <f t="shared" si="1"/>
        <v>Early 1</v>
      </c>
      <c r="Q5">
        <v>10</v>
      </c>
      <c r="R5" t="s">
        <v>913</v>
      </c>
    </row>
    <row r="6" spans="1:18" x14ac:dyDescent="0.25">
      <c r="A6" s="11" t="s">
        <v>332</v>
      </c>
      <c r="B6" s="11" t="s">
        <v>145</v>
      </c>
      <c r="C6" s="11" t="s">
        <v>279</v>
      </c>
      <c r="D6" s="11">
        <v>175.89999999999998</v>
      </c>
      <c r="E6" s="11">
        <f t="shared" si="0"/>
        <v>5</v>
      </c>
      <c r="F6" s="12" t="b">
        <f t="shared" si="2"/>
        <v>1</v>
      </c>
      <c r="G6">
        <f>IF(F6,COUNTIFS(F$2:F6,TRUE),"")</f>
        <v>4</v>
      </c>
      <c r="H6" t="str">
        <f t="shared" si="1"/>
        <v>Early 1</v>
      </c>
    </row>
    <row r="7" spans="1:18" x14ac:dyDescent="0.25">
      <c r="A7" s="11" t="s">
        <v>138</v>
      </c>
      <c r="B7" s="11" t="s">
        <v>139</v>
      </c>
      <c r="C7" s="11" t="s">
        <v>135</v>
      </c>
      <c r="D7" s="11">
        <v>171.89999999999998</v>
      </c>
      <c r="E7" s="11">
        <f t="shared" si="0"/>
        <v>6</v>
      </c>
      <c r="F7" s="12" t="b">
        <f t="shared" si="2"/>
        <v>0</v>
      </c>
      <c r="G7" t="str">
        <f>IF(F7,COUNTIFS(F$2:F7,TRUE),"")</f>
        <v/>
      </c>
      <c r="H7" t="str">
        <f t="shared" si="1"/>
        <v>Mid 1</v>
      </c>
    </row>
    <row r="8" spans="1:18" x14ac:dyDescent="0.25">
      <c r="A8" s="11" t="s">
        <v>605</v>
      </c>
      <c r="B8" s="11" t="s">
        <v>153</v>
      </c>
      <c r="C8" s="11" t="s">
        <v>430</v>
      </c>
      <c r="D8" s="11">
        <v>161.30000000000001</v>
      </c>
      <c r="E8" s="11">
        <f t="shared" si="0"/>
        <v>7</v>
      </c>
      <c r="F8" s="12" t="b">
        <f t="shared" si="2"/>
        <v>1</v>
      </c>
      <c r="G8">
        <f>IF(F8,COUNTIFS(F$2:F8,TRUE),"")</f>
        <v>5</v>
      </c>
      <c r="H8" t="str">
        <f t="shared" si="1"/>
        <v>Mid 1</v>
      </c>
    </row>
    <row r="9" spans="1:18" x14ac:dyDescent="0.25">
      <c r="A9" s="11" t="s">
        <v>702</v>
      </c>
      <c r="B9" s="11" t="s">
        <v>145</v>
      </c>
      <c r="C9" s="11" t="s">
        <v>639</v>
      </c>
      <c r="D9" s="11">
        <v>160.89999999999998</v>
      </c>
      <c r="E9" s="11">
        <f t="shared" si="0"/>
        <v>8</v>
      </c>
      <c r="F9" s="12" t="b">
        <f t="shared" si="2"/>
        <v>1</v>
      </c>
      <c r="G9">
        <f>IF(F9,COUNTIFS(F$2:F9,TRUE),"")</f>
        <v>6</v>
      </c>
      <c r="H9" t="str">
        <f t="shared" si="1"/>
        <v>Mid 1</v>
      </c>
    </row>
    <row r="10" spans="1:18" x14ac:dyDescent="0.25">
      <c r="A10" s="11" t="s">
        <v>348</v>
      </c>
      <c r="B10" s="11" t="s">
        <v>145</v>
      </c>
      <c r="C10" s="11" t="s">
        <v>288</v>
      </c>
      <c r="D10" s="11">
        <v>160.6</v>
      </c>
      <c r="E10" s="11">
        <f t="shared" si="0"/>
        <v>9</v>
      </c>
      <c r="F10" s="12" t="b">
        <f t="shared" si="2"/>
        <v>1</v>
      </c>
      <c r="G10">
        <f>IF(F10,COUNTIFS(F$2:F10,TRUE),"")</f>
        <v>7</v>
      </c>
      <c r="H10" t="str">
        <f t="shared" si="1"/>
        <v>Mid 1</v>
      </c>
    </row>
    <row r="11" spans="1:18" x14ac:dyDescent="0.25">
      <c r="A11" s="11" t="s">
        <v>469</v>
      </c>
      <c r="B11" s="11" t="s">
        <v>139</v>
      </c>
      <c r="C11" s="11" t="s">
        <v>417</v>
      </c>
      <c r="D11" s="11">
        <v>160</v>
      </c>
      <c r="E11" s="11">
        <f t="shared" si="0"/>
        <v>10</v>
      </c>
      <c r="F11" s="12" t="b">
        <f t="shared" si="2"/>
        <v>0</v>
      </c>
      <c r="G11" t="str">
        <f>IF(F11,COUNTIFS(F$2:F11,TRUE),"")</f>
        <v/>
      </c>
      <c r="H11" t="str">
        <f t="shared" si="1"/>
        <v>Late 1</v>
      </c>
    </row>
    <row r="12" spans="1:18" x14ac:dyDescent="0.25">
      <c r="A12" s="11" t="s">
        <v>501</v>
      </c>
      <c r="B12" s="11" t="s">
        <v>145</v>
      </c>
      <c r="C12" s="11" t="s">
        <v>397</v>
      </c>
      <c r="D12" s="11">
        <v>159.69999999999999</v>
      </c>
      <c r="E12" s="11">
        <f t="shared" si="0"/>
        <v>11</v>
      </c>
      <c r="F12" s="12" t="b">
        <f t="shared" si="2"/>
        <v>0</v>
      </c>
      <c r="G12" t="str">
        <f>IF(F12,COUNTIFS(F$2:F12,TRUE),"")</f>
        <v/>
      </c>
      <c r="H12" t="str">
        <f t="shared" si="1"/>
        <v>Late 1</v>
      </c>
    </row>
    <row r="13" spans="1:18" x14ac:dyDescent="0.25">
      <c r="A13" s="11" t="s">
        <v>520</v>
      </c>
      <c r="B13" s="11" t="s">
        <v>145</v>
      </c>
      <c r="C13" s="11" t="s">
        <v>408</v>
      </c>
      <c r="D13" s="11">
        <v>159.19999999999999</v>
      </c>
      <c r="E13" s="11">
        <f t="shared" si="0"/>
        <v>12</v>
      </c>
      <c r="F13" s="12" t="b">
        <f t="shared" si="2"/>
        <v>1</v>
      </c>
      <c r="G13">
        <f>IF(F13,COUNTIFS(F$2:F13,TRUE),"")</f>
        <v>8</v>
      </c>
      <c r="H13" t="str">
        <f t="shared" si="1"/>
        <v>Late 1</v>
      </c>
    </row>
    <row r="14" spans="1:18" x14ac:dyDescent="0.25">
      <c r="A14" s="11" t="s">
        <v>323</v>
      </c>
      <c r="B14" s="11" t="s">
        <v>145</v>
      </c>
      <c r="C14" s="11" t="s">
        <v>273</v>
      </c>
      <c r="D14" s="11">
        <v>158.69999999999999</v>
      </c>
      <c r="E14" s="11">
        <f t="shared" si="0"/>
        <v>13</v>
      </c>
      <c r="F14" s="12" t="b">
        <f t="shared" si="2"/>
        <v>1</v>
      </c>
      <c r="G14">
        <f>IF(F14,COUNTIFS(F$2:F14,TRUE),"")</f>
        <v>9</v>
      </c>
      <c r="H14" t="str">
        <f t="shared" si="1"/>
        <v>Late 1</v>
      </c>
    </row>
    <row r="15" spans="1:18" x14ac:dyDescent="0.25">
      <c r="A15" s="11" t="s">
        <v>822</v>
      </c>
      <c r="B15" s="11" t="s">
        <v>145</v>
      </c>
      <c r="C15" s="11" t="s">
        <v>768</v>
      </c>
      <c r="D15" s="11">
        <v>157.19999999999999</v>
      </c>
      <c r="E15" s="11">
        <f t="shared" si="0"/>
        <v>14</v>
      </c>
      <c r="F15" s="12" t="b">
        <f t="shared" si="2"/>
        <v>1</v>
      </c>
      <c r="G15">
        <f>IF(F15,COUNTIFS(F$2:F15,TRUE),"")</f>
        <v>10</v>
      </c>
      <c r="H15" t="str">
        <f t="shared" si="1"/>
        <v>Late 1</v>
      </c>
    </row>
    <row r="16" spans="1:18" x14ac:dyDescent="0.25">
      <c r="A16" s="11" t="s">
        <v>444</v>
      </c>
      <c r="B16" s="11" t="s">
        <v>139</v>
      </c>
      <c r="C16" s="11" t="s">
        <v>400</v>
      </c>
      <c r="D16" s="11">
        <v>157.10000000000002</v>
      </c>
      <c r="E16" s="11">
        <f t="shared" si="0"/>
        <v>15</v>
      </c>
      <c r="F16" s="12" t="b">
        <f t="shared" si="2"/>
        <v>1</v>
      </c>
      <c r="G16">
        <f>IF(F16,COUNTIFS(F$2:F16,TRUE),"")</f>
        <v>11</v>
      </c>
      <c r="H16" t="str">
        <f t="shared" si="1"/>
        <v>Early 2</v>
      </c>
    </row>
    <row r="17" spans="1:8" x14ac:dyDescent="0.25">
      <c r="A17" s="11" t="s">
        <v>843</v>
      </c>
      <c r="B17" s="11" t="s">
        <v>145</v>
      </c>
      <c r="C17" s="11" t="s">
        <v>779</v>
      </c>
      <c r="D17" s="11">
        <v>154.30000000000001</v>
      </c>
      <c r="E17" s="11">
        <f t="shared" si="0"/>
        <v>16</v>
      </c>
      <c r="F17" s="12" t="b">
        <f t="shared" si="2"/>
        <v>1</v>
      </c>
      <c r="G17">
        <f>IF(F17,COUNTIFS(F$2:F17,TRUE),"")</f>
        <v>12</v>
      </c>
      <c r="H17" t="str">
        <f t="shared" si="1"/>
        <v>Early 2</v>
      </c>
    </row>
    <row r="18" spans="1:8" x14ac:dyDescent="0.25">
      <c r="A18" s="11" t="s">
        <v>355</v>
      </c>
      <c r="B18" s="11" t="s">
        <v>145</v>
      </c>
      <c r="C18" s="11" t="s">
        <v>292</v>
      </c>
      <c r="D18" s="11">
        <v>153.80000000000001</v>
      </c>
      <c r="E18" s="11">
        <f t="shared" si="0"/>
        <v>17</v>
      </c>
      <c r="F18" s="12" t="b">
        <f t="shared" si="2"/>
        <v>1</v>
      </c>
      <c r="G18">
        <f>IF(F18,COUNTIFS(F$2:F18,TRUE),"")</f>
        <v>13</v>
      </c>
      <c r="H18" t="str">
        <f t="shared" si="1"/>
        <v>Early 2</v>
      </c>
    </row>
    <row r="19" spans="1:8" x14ac:dyDescent="0.25">
      <c r="A19" s="11" t="s">
        <v>462</v>
      </c>
      <c r="B19" s="11" t="s">
        <v>139</v>
      </c>
      <c r="C19" s="11" t="s">
        <v>411</v>
      </c>
      <c r="D19" s="11">
        <v>150.9</v>
      </c>
      <c r="E19" s="11">
        <f t="shared" si="0"/>
        <v>18</v>
      </c>
      <c r="F19" s="12" t="b">
        <f t="shared" si="2"/>
        <v>1</v>
      </c>
      <c r="G19">
        <f>IF(F19,COUNTIFS(F$2:F19,TRUE),"")</f>
        <v>14</v>
      </c>
      <c r="H19" t="str">
        <f t="shared" si="1"/>
        <v>Early 2</v>
      </c>
    </row>
    <row r="20" spans="1:8" x14ac:dyDescent="0.25">
      <c r="A20" s="11" t="s">
        <v>179</v>
      </c>
      <c r="B20" s="11" t="s">
        <v>139</v>
      </c>
      <c r="C20" s="11" t="s">
        <v>162</v>
      </c>
      <c r="D20" s="11">
        <v>148.69999999999999</v>
      </c>
      <c r="E20" s="11">
        <f t="shared" si="0"/>
        <v>19</v>
      </c>
      <c r="F20" s="12" t="b">
        <f t="shared" si="2"/>
        <v>0</v>
      </c>
      <c r="G20" t="str">
        <f>IF(F20,COUNTIFS(F$2:F20,TRUE),"")</f>
        <v/>
      </c>
      <c r="H20" t="str">
        <f t="shared" si="1"/>
        <v>Early 2</v>
      </c>
    </row>
    <row r="21" spans="1:8" x14ac:dyDescent="0.25">
      <c r="A21" s="11" t="s">
        <v>689</v>
      </c>
      <c r="B21" s="11" t="s">
        <v>145</v>
      </c>
      <c r="C21" s="11" t="s">
        <v>631</v>
      </c>
      <c r="D21" s="11">
        <v>148.30000000000001</v>
      </c>
      <c r="E21" s="11">
        <f t="shared" si="0"/>
        <v>20</v>
      </c>
      <c r="F21" s="12" t="b">
        <f t="shared" si="2"/>
        <v>1</v>
      </c>
      <c r="G21">
        <f>IF(F21,COUNTIFS(F$2:F21,TRUE),"")</f>
        <v>15</v>
      </c>
      <c r="H21" t="str">
        <f t="shared" si="1"/>
        <v>Mid 2</v>
      </c>
    </row>
    <row r="22" spans="1:8" x14ac:dyDescent="0.25">
      <c r="A22" s="11" t="s">
        <v>885</v>
      </c>
      <c r="B22" s="11" t="s">
        <v>153</v>
      </c>
      <c r="C22" s="11" t="s">
        <v>787</v>
      </c>
      <c r="D22" s="11">
        <v>147.5</v>
      </c>
      <c r="E22" s="11">
        <f t="shared" si="0"/>
        <v>21</v>
      </c>
      <c r="F22" s="12" t="b">
        <f t="shared" si="2"/>
        <v>0</v>
      </c>
      <c r="G22" t="str">
        <f>IF(F22,COUNTIFS(F$2:F22,TRUE),"")</f>
        <v/>
      </c>
      <c r="H22" t="str">
        <f t="shared" si="1"/>
        <v>Mid 2</v>
      </c>
    </row>
    <row r="23" spans="1:8" x14ac:dyDescent="0.25">
      <c r="A23" s="11" t="s">
        <v>480</v>
      </c>
      <c r="B23" s="11" t="s">
        <v>139</v>
      </c>
      <c r="C23" s="11" t="s">
        <v>426</v>
      </c>
      <c r="D23" s="11">
        <v>146.9</v>
      </c>
      <c r="E23" s="11">
        <f t="shared" si="0"/>
        <v>22</v>
      </c>
      <c r="F23" s="12" t="b">
        <f t="shared" si="2"/>
        <v>1</v>
      </c>
      <c r="G23">
        <f>IF(F23,COUNTIFS(F$2:F23,TRUE),"")</f>
        <v>16</v>
      </c>
      <c r="H23" t="str">
        <f t="shared" si="1"/>
        <v>Mid 2</v>
      </c>
    </row>
    <row r="24" spans="1:8" x14ac:dyDescent="0.25">
      <c r="A24" s="11" t="s">
        <v>514</v>
      </c>
      <c r="B24" s="11" t="s">
        <v>145</v>
      </c>
      <c r="C24" s="11" t="s">
        <v>404</v>
      </c>
      <c r="D24" s="11">
        <v>143.6</v>
      </c>
      <c r="E24" s="11">
        <f t="shared" si="0"/>
        <v>23</v>
      </c>
      <c r="F24" s="12" t="b">
        <f t="shared" si="2"/>
        <v>1</v>
      </c>
      <c r="G24">
        <f>IF(F24,COUNTIFS(F$2:F24,TRUE),"")</f>
        <v>17</v>
      </c>
      <c r="H24" t="str">
        <f t="shared" si="1"/>
        <v>Mid 2</v>
      </c>
    </row>
    <row r="25" spans="1:8" x14ac:dyDescent="0.25">
      <c r="A25" s="11" t="s">
        <v>492</v>
      </c>
      <c r="B25" s="11" t="s">
        <v>145</v>
      </c>
      <c r="C25" s="11" t="s">
        <v>393</v>
      </c>
      <c r="D25" s="11">
        <v>142.5</v>
      </c>
      <c r="E25" s="11">
        <f t="shared" si="0"/>
        <v>24</v>
      </c>
      <c r="F25" s="12" t="b">
        <f t="shared" si="2"/>
        <v>1</v>
      </c>
      <c r="G25">
        <f>IF(F25,COUNTIFS(F$2:F25,TRUE),"")</f>
        <v>18</v>
      </c>
      <c r="H25" t="str">
        <f t="shared" si="1"/>
        <v>Late 2</v>
      </c>
    </row>
    <row r="26" spans="1:8" x14ac:dyDescent="0.25">
      <c r="A26" s="11" t="s">
        <v>710</v>
      </c>
      <c r="B26" s="11" t="s">
        <v>145</v>
      </c>
      <c r="C26" s="11" t="s">
        <v>644</v>
      </c>
      <c r="D26" s="11">
        <v>140.9</v>
      </c>
      <c r="E26" s="11">
        <f t="shared" si="0"/>
        <v>25</v>
      </c>
      <c r="F26" s="12" t="b">
        <f t="shared" si="2"/>
        <v>1</v>
      </c>
      <c r="G26">
        <f>IF(F26,COUNTIFS(F$2:F26,TRUE),"")</f>
        <v>19</v>
      </c>
      <c r="H26" t="str">
        <f t="shared" si="1"/>
        <v>Late 2</v>
      </c>
    </row>
    <row r="27" spans="1:8" x14ac:dyDescent="0.25">
      <c r="A27" s="11" t="s">
        <v>502</v>
      </c>
      <c r="B27" s="11" t="s">
        <v>145</v>
      </c>
      <c r="C27" s="11" t="s">
        <v>397</v>
      </c>
      <c r="D27" s="11">
        <v>140.4</v>
      </c>
      <c r="E27" s="11">
        <f t="shared" si="0"/>
        <v>26</v>
      </c>
      <c r="F27" s="12" t="b">
        <f t="shared" si="2"/>
        <v>1</v>
      </c>
      <c r="G27">
        <f>IF(F27,COUNTIFS(F$2:F27,TRUE),"")</f>
        <v>20</v>
      </c>
      <c r="H27" t="str">
        <f t="shared" si="1"/>
        <v>Late 2</v>
      </c>
    </row>
    <row r="28" spans="1:8" x14ac:dyDescent="0.25">
      <c r="A28" s="11" t="s">
        <v>312</v>
      </c>
      <c r="B28" s="11" t="s">
        <v>139</v>
      </c>
      <c r="C28" s="11" t="s">
        <v>288</v>
      </c>
      <c r="D28" s="11">
        <v>140.30000000000001</v>
      </c>
      <c r="E28" s="11">
        <f t="shared" si="0"/>
        <v>27</v>
      </c>
      <c r="F28" s="12" t="b">
        <f t="shared" si="2"/>
        <v>1</v>
      </c>
      <c r="G28">
        <f>IF(F28,COUNTIFS(F$2:F28,TRUE),"")</f>
        <v>21</v>
      </c>
      <c r="H28" t="str">
        <f t="shared" si="1"/>
        <v>Late 2</v>
      </c>
    </row>
    <row r="29" spans="1:8" x14ac:dyDescent="0.25">
      <c r="A29" s="11" t="s">
        <v>545</v>
      </c>
      <c r="B29" s="11" t="s">
        <v>145</v>
      </c>
      <c r="C29" s="11" t="s">
        <v>421</v>
      </c>
      <c r="D29" s="11">
        <v>139.79999999999998</v>
      </c>
      <c r="E29" s="11">
        <f t="shared" si="0"/>
        <v>28</v>
      </c>
      <c r="F29" s="12" t="b">
        <f t="shared" si="2"/>
        <v>0</v>
      </c>
      <c r="G29" t="str">
        <f>IF(F29,COUNTIFS(F$2:F29,TRUE),"")</f>
        <v/>
      </c>
      <c r="H29" t="str">
        <f t="shared" si="1"/>
        <v>Late 2</v>
      </c>
    </row>
    <row r="30" spans="1:8" x14ac:dyDescent="0.25">
      <c r="A30" s="11" t="s">
        <v>685</v>
      </c>
      <c r="B30" s="11" t="s">
        <v>139</v>
      </c>
      <c r="C30" s="11" t="s">
        <v>648</v>
      </c>
      <c r="D30" s="11">
        <v>134.69999999999999</v>
      </c>
      <c r="E30" s="11">
        <f t="shared" si="0"/>
        <v>29</v>
      </c>
      <c r="F30" s="12" t="b">
        <f t="shared" si="2"/>
        <v>1</v>
      </c>
      <c r="G30">
        <f>IF(F30,COUNTIFS(F$2:F30,TRUE),"")</f>
        <v>22</v>
      </c>
      <c r="H30" t="str">
        <f t="shared" si="1"/>
        <v>Early 3</v>
      </c>
    </row>
    <row r="31" spans="1:8" x14ac:dyDescent="0.25">
      <c r="A31" s="11" t="s">
        <v>651</v>
      </c>
      <c r="B31" s="11" t="s">
        <v>139</v>
      </c>
      <c r="C31" s="11" t="s">
        <v>631</v>
      </c>
      <c r="D31" s="11">
        <v>133.79999999999998</v>
      </c>
      <c r="E31" s="11">
        <f t="shared" si="0"/>
        <v>30</v>
      </c>
      <c r="F31" s="12" t="b">
        <f t="shared" si="2"/>
        <v>1</v>
      </c>
      <c r="G31">
        <f>IF(F31,COUNTIFS(F$2:F31,TRUE),"")</f>
        <v>23</v>
      </c>
      <c r="H31" t="str">
        <f t="shared" si="1"/>
        <v>Early 3</v>
      </c>
    </row>
    <row r="32" spans="1:8" x14ac:dyDescent="0.25">
      <c r="A32" s="11" t="s">
        <v>528</v>
      </c>
      <c r="B32" s="11" t="s">
        <v>145</v>
      </c>
      <c r="C32" s="11" t="s">
        <v>411</v>
      </c>
      <c r="D32" s="11">
        <v>133.19999999999999</v>
      </c>
      <c r="E32" s="11">
        <f t="shared" si="0"/>
        <v>31</v>
      </c>
      <c r="F32" s="12" t="b">
        <f t="shared" si="2"/>
        <v>1</v>
      </c>
      <c r="G32">
        <f>IF(F32,COUNTIFS(F$2:F32,TRUE),"")</f>
        <v>24</v>
      </c>
      <c r="H32" t="str">
        <f t="shared" si="1"/>
        <v>Early 3</v>
      </c>
    </row>
    <row r="33" spans="1:8" x14ac:dyDescent="0.25">
      <c r="A33" s="11" t="s">
        <v>227</v>
      </c>
      <c r="B33" s="11" t="s">
        <v>145</v>
      </c>
      <c r="C33" s="11" t="s">
        <v>172</v>
      </c>
      <c r="D33" s="11">
        <v>131.1</v>
      </c>
      <c r="E33" s="11">
        <f t="shared" si="0"/>
        <v>32</v>
      </c>
      <c r="F33" s="12" t="b">
        <f t="shared" si="2"/>
        <v>1</v>
      </c>
      <c r="G33">
        <f>IF(F33,COUNTIFS(F$2:F33,TRUE),"")</f>
        <v>25</v>
      </c>
      <c r="H33" t="str">
        <f t="shared" si="1"/>
        <v>Early 3</v>
      </c>
    </row>
    <row r="34" spans="1:8" x14ac:dyDescent="0.25">
      <c r="A34" s="11" t="s">
        <v>260</v>
      </c>
      <c r="B34" s="11" t="s">
        <v>153</v>
      </c>
      <c r="C34" s="11" t="s">
        <v>176</v>
      </c>
      <c r="D34" s="11">
        <v>125.1</v>
      </c>
      <c r="E34" s="11">
        <f t="shared" si="0"/>
        <v>33</v>
      </c>
      <c r="F34" s="12" t="b">
        <f t="shared" si="2"/>
        <v>1</v>
      </c>
      <c r="G34">
        <f>IF(F34,COUNTIFS(F$2:F34,TRUE),"")</f>
        <v>26</v>
      </c>
      <c r="H34" t="str">
        <f t="shared" si="1"/>
        <v>Early 3</v>
      </c>
    </row>
    <row r="35" spans="1:8" x14ac:dyDescent="0.25">
      <c r="A35" s="11" t="s">
        <v>703</v>
      </c>
      <c r="B35" s="11" t="s">
        <v>145</v>
      </c>
      <c r="C35" s="11" t="s">
        <v>639</v>
      </c>
      <c r="D35" s="11">
        <v>123.4</v>
      </c>
      <c r="E35" s="11">
        <f t="shared" si="0"/>
        <v>34</v>
      </c>
      <c r="F35" s="12" t="b">
        <f>color_fill(E35)</f>
        <v>0</v>
      </c>
      <c r="G35" t="str">
        <f>IF(F35,COUNTIFS(F$2:F35,TRUE),"")</f>
        <v/>
      </c>
      <c r="H35" t="str">
        <f t="shared" si="1"/>
        <v>Mid 3</v>
      </c>
    </row>
    <row r="36" spans="1:8" x14ac:dyDescent="0.25">
      <c r="A36" s="11" t="s">
        <v>193</v>
      </c>
      <c r="B36" s="11" t="s">
        <v>139</v>
      </c>
      <c r="C36" s="11" t="s">
        <v>172</v>
      </c>
      <c r="D36" s="11">
        <v>123.30000000000001</v>
      </c>
      <c r="E36" s="11">
        <f t="shared" si="0"/>
        <v>35</v>
      </c>
      <c r="F36" s="12" t="b">
        <f>color_fill(E36)</f>
        <v>0</v>
      </c>
      <c r="G36" t="str">
        <f>IF(F36,COUNTIFS(F$2:F36,TRUE),"")</f>
        <v/>
      </c>
      <c r="H36" t="str">
        <f t="shared" si="1"/>
        <v>Mid 3</v>
      </c>
    </row>
    <row r="37" spans="1:8" x14ac:dyDescent="0.25">
      <c r="A37" s="11" t="s">
        <v>559</v>
      </c>
      <c r="B37" s="11" t="s">
        <v>145</v>
      </c>
      <c r="C37" s="11" t="s">
        <v>430</v>
      </c>
      <c r="D37" s="11">
        <v>122.79999999999998</v>
      </c>
      <c r="E37" s="11">
        <f t="shared" si="0"/>
        <v>36</v>
      </c>
      <c r="F37" s="12" t="b">
        <f t="shared" si="2"/>
        <v>1</v>
      </c>
      <c r="G37">
        <f>IF(F37,COUNTIFS(F$2:F37,TRUE),"")</f>
        <v>27</v>
      </c>
      <c r="H37" t="str">
        <f t="shared" si="1"/>
        <v>Mid 3</v>
      </c>
    </row>
    <row r="38" spans="1:8" x14ac:dyDescent="0.25">
      <c r="A38" s="11" t="s">
        <v>805</v>
      </c>
      <c r="B38" s="11" t="s">
        <v>139</v>
      </c>
      <c r="C38" s="11" t="s">
        <v>779</v>
      </c>
      <c r="D38" s="11">
        <v>121.4</v>
      </c>
      <c r="E38" s="11">
        <f t="shared" si="0"/>
        <v>37</v>
      </c>
      <c r="F38" s="12" t="b">
        <f t="shared" si="2"/>
        <v>0</v>
      </c>
      <c r="G38" t="str">
        <f>IF(F38,COUNTIFS(F$2:F38,TRUE),"")</f>
        <v/>
      </c>
      <c r="H38" t="str">
        <f t="shared" si="1"/>
        <v>Mid 3</v>
      </c>
    </row>
    <row r="39" spans="1:8" x14ac:dyDescent="0.25">
      <c r="A39" s="11" t="s">
        <v>144</v>
      </c>
      <c r="B39" s="11" t="s">
        <v>145</v>
      </c>
      <c r="C39" s="11" t="s">
        <v>135</v>
      </c>
      <c r="D39" s="11">
        <v>118.5</v>
      </c>
      <c r="E39" s="11">
        <f t="shared" si="0"/>
        <v>38</v>
      </c>
      <c r="F39" s="12" t="b">
        <f t="shared" si="2"/>
        <v>0</v>
      </c>
      <c r="G39" t="str">
        <f>IF(F39,COUNTIFS(F$2:F39,TRUE),"")</f>
        <v/>
      </c>
      <c r="H39" t="str">
        <f t="shared" si="1"/>
        <v>Late 3</v>
      </c>
    </row>
    <row r="40" spans="1:8" x14ac:dyDescent="0.25">
      <c r="A40" s="11" t="s">
        <v>715</v>
      </c>
      <c r="B40" s="11" t="s">
        <v>145</v>
      </c>
      <c r="C40" s="11" t="s">
        <v>107</v>
      </c>
      <c r="D40" s="11">
        <v>118</v>
      </c>
      <c r="E40" s="11">
        <f t="shared" si="0"/>
        <v>39</v>
      </c>
      <c r="F40" s="12" t="b">
        <f t="shared" si="2"/>
        <v>1</v>
      </c>
      <c r="G40">
        <f>IF(F40,COUNTIFS(F$2:F40,TRUE),"")</f>
        <v>28</v>
      </c>
      <c r="H40" t="str">
        <f t="shared" si="1"/>
        <v>Late 3</v>
      </c>
    </row>
    <row r="41" spans="1:8" x14ac:dyDescent="0.25">
      <c r="A41" s="11" t="s">
        <v>829</v>
      </c>
      <c r="B41" s="11" t="s">
        <v>145</v>
      </c>
      <c r="C41" s="11" t="s">
        <v>772</v>
      </c>
      <c r="D41" s="11">
        <v>117.9</v>
      </c>
      <c r="E41" s="11">
        <f t="shared" si="0"/>
        <v>40</v>
      </c>
      <c r="F41" s="12" t="b">
        <f t="shared" si="2"/>
        <v>0</v>
      </c>
      <c r="G41" t="str">
        <f>IF(F41,COUNTIFS(F$2:F41,TRUE),"")</f>
        <v/>
      </c>
      <c r="H41" t="str">
        <f t="shared" si="1"/>
        <v>Late 3</v>
      </c>
    </row>
    <row r="42" spans="1:8" x14ac:dyDescent="0.25">
      <c r="A42" s="11" t="s">
        <v>440</v>
      </c>
      <c r="B42" s="11" t="s">
        <v>139</v>
      </c>
      <c r="C42" s="11" t="s">
        <v>397</v>
      </c>
      <c r="D42" s="11">
        <v>117.6</v>
      </c>
      <c r="E42" s="11">
        <f t="shared" si="0"/>
        <v>41</v>
      </c>
      <c r="F42" s="12" t="b">
        <f t="shared" si="2"/>
        <v>1</v>
      </c>
      <c r="G42">
        <f>IF(F42,COUNTIFS(F$2:F42,TRUE),"")</f>
        <v>29</v>
      </c>
      <c r="H42" t="str">
        <f t="shared" si="1"/>
        <v>Late 3</v>
      </c>
    </row>
    <row r="43" spans="1:8" x14ac:dyDescent="0.25">
      <c r="A43" s="11" t="s">
        <v>146</v>
      </c>
      <c r="B43" s="11" t="s">
        <v>145</v>
      </c>
      <c r="C43" s="11" t="s">
        <v>135</v>
      </c>
      <c r="D43" s="11">
        <v>117.4</v>
      </c>
      <c r="E43" s="11">
        <f t="shared" si="0"/>
        <v>42</v>
      </c>
      <c r="F43" s="12" t="b">
        <f t="shared" si="2"/>
        <v>0</v>
      </c>
      <c r="G43" t="str">
        <f>IF(F43,COUNTIFS(F$2:F43,TRUE),"")</f>
        <v/>
      </c>
      <c r="H43" t="str">
        <f t="shared" si="1"/>
        <v>Late 3</v>
      </c>
    </row>
    <row r="44" spans="1:8" x14ac:dyDescent="0.25">
      <c r="A44" s="11" t="s">
        <v>515</v>
      </c>
      <c r="B44" s="11" t="s">
        <v>145</v>
      </c>
      <c r="C44" s="11" t="s">
        <v>404</v>
      </c>
      <c r="D44" s="11">
        <v>115.80000000000001</v>
      </c>
      <c r="E44" s="11">
        <f t="shared" si="0"/>
        <v>43</v>
      </c>
      <c r="F44" s="12" t="b">
        <f t="shared" si="2"/>
        <v>1</v>
      </c>
      <c r="G44">
        <f>IF(F44,COUNTIFS(F$2:F44,TRUE),"")</f>
        <v>30</v>
      </c>
      <c r="H44" t="str">
        <f t="shared" si="1"/>
        <v>Early 4</v>
      </c>
    </row>
    <row r="45" spans="1:8" x14ac:dyDescent="0.25">
      <c r="A45" s="11" t="s">
        <v>881</v>
      </c>
      <c r="B45" s="11" t="s">
        <v>153</v>
      </c>
      <c r="C45" s="11" t="s">
        <v>783</v>
      </c>
      <c r="D45" s="11">
        <v>115.5</v>
      </c>
      <c r="E45" s="11">
        <f t="shared" si="0"/>
        <v>44</v>
      </c>
      <c r="F45" s="12" t="b">
        <f t="shared" si="2"/>
        <v>1</v>
      </c>
      <c r="G45">
        <f>IF(F45,COUNTIFS(F$2:F45,TRUE),"")</f>
        <v>31</v>
      </c>
      <c r="H45" t="str">
        <f t="shared" si="1"/>
        <v>Early 4</v>
      </c>
    </row>
    <row r="46" spans="1:8" x14ac:dyDescent="0.25">
      <c r="A46" s="11" t="s">
        <v>238</v>
      </c>
      <c r="B46" s="11" t="s">
        <v>145</v>
      </c>
      <c r="C46" s="11" t="s">
        <v>176</v>
      </c>
      <c r="D46" s="11">
        <v>112</v>
      </c>
      <c r="E46" s="11">
        <f t="shared" si="0"/>
        <v>45</v>
      </c>
      <c r="F46" s="12" t="b">
        <f t="shared" si="2"/>
        <v>1</v>
      </c>
      <c r="G46">
        <f>IF(F46,COUNTIFS(F$2:F46,TRUE),"")</f>
        <v>32</v>
      </c>
      <c r="H46" t="str">
        <f t="shared" si="1"/>
        <v>Early 4</v>
      </c>
    </row>
    <row r="47" spans="1:8" x14ac:dyDescent="0.25">
      <c r="A47" s="11" t="s">
        <v>147</v>
      </c>
      <c r="B47" s="11" t="s">
        <v>145</v>
      </c>
      <c r="C47" s="11" t="s">
        <v>135</v>
      </c>
      <c r="D47" s="11">
        <v>111.19999999999999</v>
      </c>
      <c r="E47" s="11">
        <f t="shared" si="0"/>
        <v>46</v>
      </c>
      <c r="F47" s="12" t="b">
        <f t="shared" si="2"/>
        <v>1</v>
      </c>
      <c r="G47">
        <f>IF(F47,COUNTIFS(F$2:F47,TRUE),"")</f>
        <v>33</v>
      </c>
      <c r="H47" t="str">
        <f t="shared" si="1"/>
        <v>Early 4</v>
      </c>
    </row>
    <row r="48" spans="1:8" x14ac:dyDescent="0.25">
      <c r="A48" s="11" t="s">
        <v>667</v>
      </c>
      <c r="B48" s="11" t="s">
        <v>139</v>
      </c>
      <c r="C48" s="11" t="s">
        <v>639</v>
      </c>
      <c r="D48" s="11">
        <v>108.19999999999999</v>
      </c>
      <c r="E48" s="11">
        <f t="shared" si="0"/>
        <v>47</v>
      </c>
      <c r="F48" s="12" t="b">
        <f t="shared" si="2"/>
        <v>1</v>
      </c>
      <c r="G48">
        <f>IF(F48,COUNTIFS(F$2:F48,TRUE),"")</f>
        <v>34</v>
      </c>
      <c r="H48" t="str">
        <f t="shared" si="1"/>
        <v>Early 4</v>
      </c>
    </row>
    <row r="49" spans="1:8" x14ac:dyDescent="0.25">
      <c r="A49" s="11" t="s">
        <v>318</v>
      </c>
      <c r="B49" s="11" t="s">
        <v>139</v>
      </c>
      <c r="C49" s="11" t="s">
        <v>292</v>
      </c>
      <c r="D49" s="11">
        <v>107.9</v>
      </c>
      <c r="E49" s="11">
        <f t="shared" si="0"/>
        <v>48</v>
      </c>
      <c r="F49" s="12" t="b">
        <f t="shared" si="2"/>
        <v>1</v>
      </c>
      <c r="G49">
        <f>IF(F49,COUNTIFS(F$2:F49,TRUE),"")</f>
        <v>35</v>
      </c>
      <c r="H49" t="str">
        <f t="shared" si="1"/>
        <v>Mid 4</v>
      </c>
    </row>
    <row r="50" spans="1:8" x14ac:dyDescent="0.25">
      <c r="A50" s="11" t="s">
        <v>485</v>
      </c>
      <c r="B50" s="11" t="s">
        <v>139</v>
      </c>
      <c r="C50" s="11" t="s">
        <v>430</v>
      </c>
      <c r="D50" s="11">
        <v>107.4</v>
      </c>
      <c r="E50" s="11">
        <f t="shared" si="0"/>
        <v>49</v>
      </c>
      <c r="F50" s="12" t="b">
        <f t="shared" si="2"/>
        <v>0</v>
      </c>
      <c r="G50" t="str">
        <f>IF(F50,COUNTIFS(F$2:F50,TRUE),"")</f>
        <v/>
      </c>
      <c r="H50" t="str">
        <f t="shared" si="1"/>
        <v>Mid 4</v>
      </c>
    </row>
    <row r="51" spans="1:8" x14ac:dyDescent="0.25">
      <c r="A51" s="11" t="s">
        <v>790</v>
      </c>
      <c r="B51" s="11" t="s">
        <v>139</v>
      </c>
      <c r="C51" s="11" t="s">
        <v>768</v>
      </c>
      <c r="D51" s="11">
        <v>102.69999999999999</v>
      </c>
      <c r="E51" s="11">
        <f t="shared" si="0"/>
        <v>50</v>
      </c>
      <c r="F51" s="12" t="b">
        <f t="shared" si="2"/>
        <v>1</v>
      </c>
      <c r="G51">
        <f>IF(F51,COUNTIFS(F$2:F51,TRUE),"")</f>
        <v>36</v>
      </c>
      <c r="H51" t="str">
        <f t="shared" si="1"/>
        <v>Mid 4</v>
      </c>
    </row>
    <row r="52" spans="1:8" x14ac:dyDescent="0.25">
      <c r="A52" s="11" t="s">
        <v>798</v>
      </c>
      <c r="B52" s="11" t="s">
        <v>139</v>
      </c>
      <c r="C52" s="11" t="s">
        <v>774</v>
      </c>
      <c r="D52" s="11">
        <v>101.5</v>
      </c>
      <c r="E52" s="11">
        <f t="shared" si="0"/>
        <v>51</v>
      </c>
      <c r="F52" s="12" t="b">
        <f t="shared" si="2"/>
        <v>1</v>
      </c>
      <c r="G52">
        <f>IF(F52,COUNTIFS(F$2:F52,TRUE),"")</f>
        <v>37</v>
      </c>
      <c r="H52" t="str">
        <f t="shared" si="1"/>
        <v>Mid 4</v>
      </c>
    </row>
    <row r="53" spans="1:8" x14ac:dyDescent="0.25">
      <c r="A53" s="11" t="s">
        <v>794</v>
      </c>
      <c r="B53" s="11" t="s">
        <v>139</v>
      </c>
      <c r="C53" s="11" t="s">
        <v>772</v>
      </c>
      <c r="D53" s="11">
        <v>98.9</v>
      </c>
      <c r="E53" s="11">
        <f t="shared" si="0"/>
        <v>52</v>
      </c>
      <c r="F53" s="12" t="b">
        <f t="shared" si="2"/>
        <v>0</v>
      </c>
      <c r="G53" t="str">
        <f>IF(F53,COUNTIFS(F$2:F53,TRUE),"")</f>
        <v/>
      </c>
      <c r="H53" t="str">
        <f t="shared" si="1"/>
        <v>Late 4</v>
      </c>
    </row>
    <row r="54" spans="1:8" x14ac:dyDescent="0.25">
      <c r="A54" s="11" t="s">
        <v>521</v>
      </c>
      <c r="B54" s="11" t="s">
        <v>145</v>
      </c>
      <c r="C54" s="11" t="s">
        <v>408</v>
      </c>
      <c r="D54" s="11">
        <v>96.800000000000011</v>
      </c>
      <c r="E54" s="11">
        <f t="shared" si="0"/>
        <v>53</v>
      </c>
      <c r="F54" s="12" t="b">
        <f t="shared" si="2"/>
        <v>0</v>
      </c>
      <c r="G54" t="str">
        <f>IF(F54,COUNTIFS(F$2:F54,TRUE),"")</f>
        <v/>
      </c>
      <c r="H54" t="str">
        <f t="shared" si="1"/>
        <v>Late 4</v>
      </c>
    </row>
    <row r="55" spans="1:8" x14ac:dyDescent="0.25">
      <c r="A55" s="11" t="s">
        <v>674</v>
      </c>
      <c r="B55" s="11" t="s">
        <v>139</v>
      </c>
      <c r="C55" s="11" t="s">
        <v>644</v>
      </c>
      <c r="D55" s="11">
        <v>96.5</v>
      </c>
      <c r="E55" s="11">
        <f t="shared" si="0"/>
        <v>54</v>
      </c>
      <c r="F55" s="12" t="b">
        <f t="shared" si="2"/>
        <v>1</v>
      </c>
      <c r="G55">
        <f>IF(F55,COUNTIFS(F$2:F55,TRUE),"")</f>
        <v>38</v>
      </c>
      <c r="H55" t="str">
        <f t="shared" si="1"/>
        <v>Late 4</v>
      </c>
    </row>
    <row r="56" spans="1:8" x14ac:dyDescent="0.25">
      <c r="A56" s="11" t="s">
        <v>301</v>
      </c>
      <c r="B56" s="11" t="s">
        <v>139</v>
      </c>
      <c r="C56" s="11" t="s">
        <v>279</v>
      </c>
      <c r="D56" s="11">
        <v>95.699999999999989</v>
      </c>
      <c r="E56" s="11">
        <f t="shared" si="0"/>
        <v>55</v>
      </c>
      <c r="F56" s="12" t="b">
        <f t="shared" si="2"/>
        <v>0</v>
      </c>
      <c r="G56" t="str">
        <f>IF(F56,COUNTIFS(F$2:F56,TRUE),"")</f>
        <v/>
      </c>
      <c r="H56" t="str">
        <f t="shared" si="1"/>
        <v>Late 4</v>
      </c>
    </row>
    <row r="57" spans="1:8" x14ac:dyDescent="0.25">
      <c r="A57" s="11" t="s">
        <v>356</v>
      </c>
      <c r="B57" s="11" t="s">
        <v>145</v>
      </c>
      <c r="C57" s="11" t="s">
        <v>292</v>
      </c>
      <c r="D57" s="11">
        <v>93.799999999999983</v>
      </c>
      <c r="E57" s="11">
        <f t="shared" si="0"/>
        <v>56</v>
      </c>
      <c r="F57" s="12" t="b">
        <f t="shared" si="2"/>
        <v>1</v>
      </c>
      <c r="G57">
        <f>IF(F57,COUNTIFS(F$2:F57,TRUE),"")</f>
        <v>39</v>
      </c>
      <c r="H57" t="str">
        <f t="shared" si="1"/>
        <v>Late 4</v>
      </c>
    </row>
    <row r="58" spans="1:8" x14ac:dyDescent="0.25">
      <c r="A58" s="11" t="s">
        <v>711</v>
      </c>
      <c r="B58" s="11" t="s">
        <v>145</v>
      </c>
      <c r="C58" s="11" t="s">
        <v>644</v>
      </c>
      <c r="D58" s="11">
        <v>93</v>
      </c>
      <c r="E58" s="11">
        <f t="shared" si="0"/>
        <v>57</v>
      </c>
      <c r="F58" s="12" t="b">
        <f t="shared" si="2"/>
        <v>1</v>
      </c>
      <c r="G58">
        <f>IF(F58,COUNTIFS(F$2:F58,TRUE),"")</f>
        <v>40</v>
      </c>
      <c r="H58" t="str">
        <f t="shared" si="1"/>
        <v>Early 5</v>
      </c>
    </row>
    <row r="59" spans="1:8" x14ac:dyDescent="0.25">
      <c r="A59" s="11" t="s">
        <v>729</v>
      </c>
      <c r="B59" s="11" t="s">
        <v>153</v>
      </c>
      <c r="C59" s="11" t="s">
        <v>631</v>
      </c>
      <c r="D59" s="11">
        <v>92.9</v>
      </c>
      <c r="E59" s="11">
        <f t="shared" si="0"/>
        <v>58</v>
      </c>
      <c r="F59" s="12" t="b">
        <f t="shared" si="2"/>
        <v>1</v>
      </c>
      <c r="G59">
        <f>IF(F59,COUNTIFS(F$2:F59,TRUE),"")</f>
        <v>41</v>
      </c>
      <c r="H59" t="str">
        <f t="shared" si="1"/>
        <v>Early 5</v>
      </c>
    </row>
    <row r="60" spans="1:8" x14ac:dyDescent="0.25">
      <c r="A60" s="11" t="s">
        <v>587</v>
      </c>
      <c r="B60" s="11" t="s">
        <v>153</v>
      </c>
      <c r="C60" s="11" t="s">
        <v>411</v>
      </c>
      <c r="D60" s="11">
        <v>91.4</v>
      </c>
      <c r="E60" s="11">
        <f t="shared" si="0"/>
        <v>59</v>
      </c>
      <c r="F60" s="12" t="b">
        <f t="shared" si="2"/>
        <v>1</v>
      </c>
      <c r="G60">
        <f>IF(F60,COUNTIFS(F$2:F60,TRUE),"")</f>
        <v>42</v>
      </c>
      <c r="H60" t="str">
        <f t="shared" si="1"/>
        <v>Early 5</v>
      </c>
    </row>
    <row r="61" spans="1:8" x14ac:dyDescent="0.25">
      <c r="A61" s="11" t="s">
        <v>295</v>
      </c>
      <c r="B61" s="11" t="s">
        <v>139</v>
      </c>
      <c r="C61" s="11" t="s">
        <v>273</v>
      </c>
      <c r="D61" s="11">
        <v>91.1</v>
      </c>
      <c r="E61" s="11">
        <f t="shared" si="0"/>
        <v>60</v>
      </c>
      <c r="F61" s="12" t="b">
        <f t="shared" si="2"/>
        <v>1</v>
      </c>
      <c r="G61">
        <f>IF(F61,COUNTIFS(F$2:F61,TRUE),"")</f>
        <v>43</v>
      </c>
      <c r="H61" t="str">
        <f t="shared" si="1"/>
        <v>Early 5</v>
      </c>
    </row>
    <row r="62" spans="1:8" x14ac:dyDescent="0.25">
      <c r="A62" s="11" t="s">
        <v>305</v>
      </c>
      <c r="B62" s="11" t="s">
        <v>139</v>
      </c>
      <c r="C62" s="11" t="s">
        <v>283</v>
      </c>
      <c r="D62" s="11">
        <v>91</v>
      </c>
      <c r="E62" s="11">
        <f t="shared" si="0"/>
        <v>61</v>
      </c>
      <c r="F62" s="12" t="b">
        <f t="shared" si="2"/>
        <v>1</v>
      </c>
      <c r="G62">
        <f>IF(F62,COUNTIFS(F$2:F62,TRUE),"")</f>
        <v>44</v>
      </c>
      <c r="H62" t="str">
        <f t="shared" si="1"/>
        <v>Early 5</v>
      </c>
    </row>
    <row r="63" spans="1:8" x14ac:dyDescent="0.25">
      <c r="A63" s="11" t="s">
        <v>817</v>
      </c>
      <c r="B63" s="11" t="s">
        <v>139</v>
      </c>
      <c r="C63" s="11" t="s">
        <v>787</v>
      </c>
      <c r="D63" s="11">
        <v>89.200000000000017</v>
      </c>
      <c r="E63" s="11">
        <f t="shared" si="0"/>
        <v>62</v>
      </c>
      <c r="F63" s="12" t="b">
        <f t="shared" si="2"/>
        <v>1</v>
      </c>
      <c r="G63">
        <f>IF(F63,COUNTIFS(F$2:F63,TRUE),"")</f>
        <v>45</v>
      </c>
      <c r="H63" t="str">
        <f t="shared" si="1"/>
        <v>Mid 5</v>
      </c>
    </row>
    <row r="64" spans="1:8" x14ac:dyDescent="0.25">
      <c r="A64" s="11" t="s">
        <v>810</v>
      </c>
      <c r="B64" s="11" t="s">
        <v>139</v>
      </c>
      <c r="C64" s="11" t="s">
        <v>783</v>
      </c>
      <c r="D64" s="11">
        <v>88.700000000000017</v>
      </c>
      <c r="E64" s="11">
        <f t="shared" si="0"/>
        <v>63</v>
      </c>
      <c r="F64" s="12" t="b">
        <f t="shared" si="2"/>
        <v>1</v>
      </c>
      <c r="G64">
        <f>IF(F64,COUNTIFS(F$2:F64,TRUE),"")</f>
        <v>46</v>
      </c>
      <c r="H64" t="str">
        <f t="shared" si="1"/>
        <v>Mid 5</v>
      </c>
    </row>
    <row r="65" spans="1:8" x14ac:dyDescent="0.25">
      <c r="A65" s="11" t="s">
        <v>546</v>
      </c>
      <c r="B65" s="11" t="s">
        <v>145</v>
      </c>
      <c r="C65" s="11" t="s">
        <v>421</v>
      </c>
      <c r="D65" s="11">
        <v>87.199999999999989</v>
      </c>
      <c r="E65" s="11">
        <f t="shared" si="0"/>
        <v>64</v>
      </c>
      <c r="F65" s="12" t="b">
        <f t="shared" si="2"/>
        <v>1</v>
      </c>
      <c r="G65">
        <f>IF(F65,COUNTIFS(F$2:F65,TRUE),"")</f>
        <v>47</v>
      </c>
      <c r="H65" t="str">
        <f t="shared" si="1"/>
        <v>Mid 5</v>
      </c>
    </row>
    <row r="66" spans="1:8" x14ac:dyDescent="0.25">
      <c r="A66" s="11" t="s">
        <v>451</v>
      </c>
      <c r="B66" s="11" t="s">
        <v>139</v>
      </c>
      <c r="C66" s="11" t="s">
        <v>404</v>
      </c>
      <c r="D66" s="11">
        <v>87.1</v>
      </c>
      <c r="E66" s="11">
        <f t="shared" ref="E66:E129" si="3">_xlfn.RANK.AVG(D66,$D$2:$D$738,0)</f>
        <v>65</v>
      </c>
      <c r="F66" s="12" t="b">
        <f t="shared" si="2"/>
        <v>1</v>
      </c>
      <c r="G66">
        <f>IF(F66,COUNTIFS(F$2:F66,TRUE),"")</f>
        <v>48</v>
      </c>
      <c r="H66" t="str">
        <f t="shared" si="1"/>
        <v>Mid 5</v>
      </c>
    </row>
    <row r="67" spans="1:8" x14ac:dyDescent="0.25">
      <c r="A67" s="11" t="s">
        <v>493</v>
      </c>
      <c r="B67" s="11" t="s">
        <v>145</v>
      </c>
      <c r="C67" s="11" t="s">
        <v>393</v>
      </c>
      <c r="D67" s="11">
        <v>86.799999999999983</v>
      </c>
      <c r="E67" s="11">
        <f t="shared" si="3"/>
        <v>66</v>
      </c>
      <c r="F67" s="12" t="b">
        <f t="shared" ref="F67:F130" si="4">color_fill(E67)</f>
        <v>1</v>
      </c>
      <c r="G67">
        <f>IF(F67,COUNTIFS(F$2:F67,TRUE),"")</f>
        <v>49</v>
      </c>
      <c r="H67" t="str">
        <f t="shared" ref="H67:H130" si="5">VLOOKUP(MOD(E67,14),$Q$2:$R$5,2,TRUE)&amp;" "&amp;_xlfn.CEILING.MATH((E67)/14)</f>
        <v>Late 5</v>
      </c>
    </row>
    <row r="68" spans="1:8" x14ac:dyDescent="0.25">
      <c r="A68" s="11" t="s">
        <v>830</v>
      </c>
      <c r="B68" s="11" t="s">
        <v>145</v>
      </c>
      <c r="C68" s="11" t="s">
        <v>772</v>
      </c>
      <c r="D68" s="11">
        <v>85</v>
      </c>
      <c r="E68" s="11">
        <f t="shared" si="3"/>
        <v>67</v>
      </c>
      <c r="F68" s="12" t="b">
        <f t="shared" si="4"/>
        <v>1</v>
      </c>
      <c r="G68">
        <f>IF(F68,COUNTIFS(F$2:F68,TRUE),"")</f>
        <v>50</v>
      </c>
      <c r="H68" t="str">
        <f t="shared" si="5"/>
        <v>Late 5</v>
      </c>
    </row>
    <row r="69" spans="1:8" x14ac:dyDescent="0.25">
      <c r="A69" s="11" t="s">
        <v>859</v>
      </c>
      <c r="B69" s="11" t="s">
        <v>145</v>
      </c>
      <c r="C69" s="11" t="s">
        <v>787</v>
      </c>
      <c r="D69" s="11">
        <v>84.799999999999983</v>
      </c>
      <c r="E69" s="11">
        <f t="shared" si="3"/>
        <v>68</v>
      </c>
      <c r="F69" s="12" t="b">
        <f t="shared" si="4"/>
        <v>1</v>
      </c>
      <c r="G69">
        <f>IF(F69,COUNTIFS(F$2:F69,TRUE),"")</f>
        <v>51</v>
      </c>
      <c r="H69" t="str">
        <f t="shared" si="5"/>
        <v>Late 5</v>
      </c>
    </row>
    <row r="70" spans="1:8" x14ac:dyDescent="0.25">
      <c r="A70" s="11" t="s">
        <v>681</v>
      </c>
      <c r="B70" s="11" t="s">
        <v>139</v>
      </c>
      <c r="C70" s="11" t="s">
        <v>107</v>
      </c>
      <c r="D70" s="11">
        <v>83.9</v>
      </c>
      <c r="E70" s="11">
        <f t="shared" si="3"/>
        <v>69.5</v>
      </c>
      <c r="F70" s="12" t="b">
        <f t="shared" si="4"/>
        <v>1</v>
      </c>
      <c r="G70">
        <f>IF(F70,COUNTIFS(F$2:F70,TRUE),"")</f>
        <v>52</v>
      </c>
      <c r="H70" t="str">
        <f t="shared" si="5"/>
        <v>Late 5</v>
      </c>
    </row>
    <row r="71" spans="1:8" x14ac:dyDescent="0.25">
      <c r="A71" s="11" t="s">
        <v>324</v>
      </c>
      <c r="B71" s="11" t="s">
        <v>145</v>
      </c>
      <c r="C71" s="11" t="s">
        <v>273</v>
      </c>
      <c r="D71" s="11">
        <v>83.9</v>
      </c>
      <c r="E71" s="11">
        <f t="shared" si="3"/>
        <v>69.5</v>
      </c>
      <c r="F71" s="12" t="b">
        <f t="shared" si="4"/>
        <v>1</v>
      </c>
      <c r="G71">
        <f>IF(F71,COUNTIFS(F$2:F71,TRUE),"")</f>
        <v>53</v>
      </c>
      <c r="H71" t="str">
        <f t="shared" si="5"/>
        <v>Late 5</v>
      </c>
    </row>
    <row r="72" spans="1:8" x14ac:dyDescent="0.25">
      <c r="A72" s="11" t="s">
        <v>606</v>
      </c>
      <c r="B72" s="11" t="s">
        <v>153</v>
      </c>
      <c r="C72" s="11" t="s">
        <v>430</v>
      </c>
      <c r="D72" s="11">
        <v>83</v>
      </c>
      <c r="E72" s="11">
        <f t="shared" si="3"/>
        <v>71</v>
      </c>
      <c r="F72" s="12" t="b">
        <f t="shared" si="4"/>
        <v>1</v>
      </c>
      <c r="G72">
        <f>IF(F72,COUNTIFS(F$2:F72,TRUE),"")</f>
        <v>54</v>
      </c>
      <c r="H72" t="str">
        <f t="shared" si="5"/>
        <v>Early 6</v>
      </c>
    </row>
    <row r="73" spans="1:8" x14ac:dyDescent="0.25">
      <c r="A73" s="11" t="s">
        <v>836</v>
      </c>
      <c r="B73" s="11" t="s">
        <v>145</v>
      </c>
      <c r="C73" s="11" t="s">
        <v>774</v>
      </c>
      <c r="D73" s="11">
        <v>82.800000000000011</v>
      </c>
      <c r="E73" s="11">
        <f t="shared" si="3"/>
        <v>72</v>
      </c>
      <c r="F73" s="12" t="b">
        <f t="shared" si="4"/>
        <v>1</v>
      </c>
      <c r="G73">
        <f>IF(F73,COUNTIFS(F$2:F73,TRUE),"")</f>
        <v>55</v>
      </c>
      <c r="H73" t="str">
        <f t="shared" si="5"/>
        <v>Early 6</v>
      </c>
    </row>
    <row r="74" spans="1:8" x14ac:dyDescent="0.25">
      <c r="A74" s="11" t="s">
        <v>302</v>
      </c>
      <c r="B74" s="11" t="s">
        <v>139</v>
      </c>
      <c r="C74" s="11" t="s">
        <v>279</v>
      </c>
      <c r="D74" s="11">
        <v>81.900000000000006</v>
      </c>
      <c r="E74" s="11">
        <f t="shared" si="3"/>
        <v>73</v>
      </c>
      <c r="F74" s="12" t="b">
        <f t="shared" si="4"/>
        <v>1</v>
      </c>
      <c r="G74">
        <f>IF(F74,COUNTIFS(F$2:F74,TRUE),"")</f>
        <v>56</v>
      </c>
      <c r="H74" t="str">
        <f t="shared" si="5"/>
        <v>Early 6</v>
      </c>
    </row>
    <row r="75" spans="1:8" x14ac:dyDescent="0.25">
      <c r="A75" s="11" t="s">
        <v>690</v>
      </c>
      <c r="B75" s="11" t="s">
        <v>145</v>
      </c>
      <c r="C75" s="11" t="s">
        <v>631</v>
      </c>
      <c r="D75" s="11">
        <v>81.400000000000006</v>
      </c>
      <c r="E75" s="11">
        <f t="shared" si="3"/>
        <v>74</v>
      </c>
      <c r="F75" s="12" t="b">
        <f t="shared" si="4"/>
        <v>1</v>
      </c>
      <c r="G75">
        <f>IF(F75,COUNTIFS(F$2:F75,TRUE),"")</f>
        <v>57</v>
      </c>
      <c r="H75" t="str">
        <f t="shared" si="5"/>
        <v>Early 6</v>
      </c>
    </row>
    <row r="76" spans="1:8" x14ac:dyDescent="0.25">
      <c r="A76" s="11" t="s">
        <v>202</v>
      </c>
      <c r="B76" s="11" t="s">
        <v>139</v>
      </c>
      <c r="C76" s="11" t="s">
        <v>176</v>
      </c>
      <c r="D76" s="11">
        <v>79.599999999999994</v>
      </c>
      <c r="E76" s="11">
        <f t="shared" si="3"/>
        <v>75</v>
      </c>
      <c r="F76" s="12" t="b">
        <f t="shared" si="4"/>
        <v>1</v>
      </c>
      <c r="G76">
        <f>IF(F76,COUNTIFS(F$2:F76,TRUE),"")</f>
        <v>58</v>
      </c>
      <c r="H76" t="str">
        <f t="shared" si="5"/>
        <v>Early 6</v>
      </c>
    </row>
    <row r="77" spans="1:8" x14ac:dyDescent="0.25">
      <c r="A77" s="11" t="s">
        <v>175</v>
      </c>
      <c r="B77" s="11" t="s">
        <v>116</v>
      </c>
      <c r="C77" s="11" t="s">
        <v>176</v>
      </c>
      <c r="D77" s="11">
        <v>79.460000000000036</v>
      </c>
      <c r="E77" s="11">
        <f t="shared" si="3"/>
        <v>76</v>
      </c>
      <c r="F77" s="12" t="b">
        <f t="shared" si="4"/>
        <v>0</v>
      </c>
      <c r="G77" t="str">
        <f>IF(F77,COUNTIFS(F$2:F77,TRUE),"")</f>
        <v/>
      </c>
      <c r="H77" t="str">
        <f t="shared" si="5"/>
        <v>Mid 6</v>
      </c>
    </row>
    <row r="78" spans="1:8" x14ac:dyDescent="0.25">
      <c r="A78" s="11" t="s">
        <v>396</v>
      </c>
      <c r="B78" s="11" t="s">
        <v>116</v>
      </c>
      <c r="C78" s="11" t="s">
        <v>397</v>
      </c>
      <c r="D78" s="11">
        <v>79.12</v>
      </c>
      <c r="E78" s="11">
        <f t="shared" si="3"/>
        <v>77</v>
      </c>
      <c r="F78" s="12" t="b">
        <f t="shared" si="4"/>
        <v>1</v>
      </c>
      <c r="G78">
        <f>IF(F78,COUNTIFS(F$2:F78,TRUE),"")</f>
        <v>59</v>
      </c>
      <c r="H78" t="str">
        <f t="shared" si="5"/>
        <v>Mid 6</v>
      </c>
    </row>
    <row r="79" spans="1:8" x14ac:dyDescent="0.25">
      <c r="A79" s="11" t="s">
        <v>552</v>
      </c>
      <c r="B79" s="11" t="s">
        <v>145</v>
      </c>
      <c r="C79" s="11" t="s">
        <v>426</v>
      </c>
      <c r="D79" s="11">
        <v>75.599999999999994</v>
      </c>
      <c r="E79" s="11">
        <f t="shared" si="3"/>
        <v>78</v>
      </c>
      <c r="F79" s="12" t="b">
        <f t="shared" si="4"/>
        <v>1</v>
      </c>
      <c r="G79">
        <f>IF(F79,COUNTIFS(F$2:F79,TRUE),"")</f>
        <v>60</v>
      </c>
      <c r="H79" t="str">
        <f t="shared" si="5"/>
        <v>Mid 6</v>
      </c>
    </row>
    <row r="80" spans="1:8" x14ac:dyDescent="0.25">
      <c r="A80" s="11" t="s">
        <v>865</v>
      </c>
      <c r="B80" s="11" t="s">
        <v>153</v>
      </c>
      <c r="C80" s="11" t="s">
        <v>768</v>
      </c>
      <c r="D80" s="11">
        <v>75.400000000000006</v>
      </c>
      <c r="E80" s="11">
        <f t="shared" si="3"/>
        <v>79</v>
      </c>
      <c r="F80" s="12" t="b">
        <f t="shared" si="4"/>
        <v>1</v>
      </c>
      <c r="G80">
        <f>IF(F80,COUNTIFS(F$2:F80,TRUE),"")</f>
        <v>61</v>
      </c>
      <c r="H80" t="str">
        <f t="shared" si="5"/>
        <v>Mid 6</v>
      </c>
    </row>
    <row r="81" spans="1:8" x14ac:dyDescent="0.25">
      <c r="A81" s="11" t="s">
        <v>791</v>
      </c>
      <c r="B81" s="11" t="s">
        <v>139</v>
      </c>
      <c r="C81" s="11" t="s">
        <v>768</v>
      </c>
      <c r="D81" s="11">
        <v>74.099999999999994</v>
      </c>
      <c r="E81" s="11">
        <f t="shared" si="3"/>
        <v>80</v>
      </c>
      <c r="F81" s="12" t="b">
        <f t="shared" si="4"/>
        <v>1</v>
      </c>
      <c r="G81">
        <f>IF(F81,COUNTIFS(F$2:F81,TRUE),"")</f>
        <v>62</v>
      </c>
      <c r="H81" t="str">
        <f t="shared" si="5"/>
        <v>Late 6</v>
      </c>
    </row>
    <row r="82" spans="1:8" x14ac:dyDescent="0.25">
      <c r="A82" s="11" t="s">
        <v>433</v>
      </c>
      <c r="B82" s="11" t="s">
        <v>139</v>
      </c>
      <c r="C82" s="11" t="s">
        <v>393</v>
      </c>
      <c r="D82" s="11">
        <v>74</v>
      </c>
      <c r="E82" s="11">
        <f t="shared" si="3"/>
        <v>81</v>
      </c>
      <c r="F82" s="12" t="b">
        <f t="shared" si="4"/>
        <v>1</v>
      </c>
      <c r="G82">
        <f>IF(F82,COUNTIFS(F$2:F82,TRUE),"")</f>
        <v>63</v>
      </c>
      <c r="H82" t="str">
        <f t="shared" si="5"/>
        <v>Late 6</v>
      </c>
    </row>
    <row r="83" spans="1:8" x14ac:dyDescent="0.25">
      <c r="A83" s="11" t="s">
        <v>474</v>
      </c>
      <c r="B83" s="11" t="s">
        <v>139</v>
      </c>
      <c r="C83" s="11" t="s">
        <v>421</v>
      </c>
      <c r="D83" s="11">
        <v>72.400000000000006</v>
      </c>
      <c r="E83" s="11">
        <f t="shared" si="3"/>
        <v>82</v>
      </c>
      <c r="F83" s="12" t="b">
        <f t="shared" si="4"/>
        <v>1</v>
      </c>
      <c r="G83">
        <f>IF(F83,COUNTIFS(F$2:F83,TRUE),"")</f>
        <v>64</v>
      </c>
      <c r="H83" t="str">
        <f t="shared" si="5"/>
        <v>Late 6</v>
      </c>
    </row>
    <row r="84" spans="1:8" x14ac:dyDescent="0.25">
      <c r="A84" s="11" t="s">
        <v>844</v>
      </c>
      <c r="B84" s="11" t="s">
        <v>145</v>
      </c>
      <c r="C84" s="11" t="s">
        <v>779</v>
      </c>
      <c r="D84" s="11">
        <v>71.800000000000011</v>
      </c>
      <c r="E84" s="11">
        <f t="shared" si="3"/>
        <v>83</v>
      </c>
      <c r="F84" s="12" t="b">
        <f t="shared" si="4"/>
        <v>1</v>
      </c>
      <c r="G84">
        <f>IF(F84,COUNTIFS(F$2:F84,TRUE),"")</f>
        <v>65</v>
      </c>
      <c r="H84" t="str">
        <f t="shared" si="5"/>
        <v>Late 6</v>
      </c>
    </row>
    <row r="85" spans="1:8" x14ac:dyDescent="0.25">
      <c r="A85" s="11" t="s">
        <v>538</v>
      </c>
      <c r="B85" s="11" t="s">
        <v>145</v>
      </c>
      <c r="C85" s="11" t="s">
        <v>417</v>
      </c>
      <c r="D85" s="11">
        <v>71.600000000000023</v>
      </c>
      <c r="E85" s="11">
        <f t="shared" si="3"/>
        <v>84</v>
      </c>
      <c r="F85" s="12" t="b">
        <f t="shared" si="4"/>
        <v>1</v>
      </c>
      <c r="G85">
        <f>IF(F85,COUNTIFS(F$2:F85,TRUE),"")</f>
        <v>66</v>
      </c>
      <c r="H85" t="str">
        <f t="shared" si="5"/>
        <v>Late 6</v>
      </c>
    </row>
    <row r="86" spans="1:8" x14ac:dyDescent="0.25">
      <c r="A86" s="11" t="s">
        <v>659</v>
      </c>
      <c r="B86" s="11" t="s">
        <v>139</v>
      </c>
      <c r="C86" s="11" t="s">
        <v>635</v>
      </c>
      <c r="D86" s="11">
        <v>70.300000000000011</v>
      </c>
      <c r="E86" s="11">
        <f t="shared" si="3"/>
        <v>85</v>
      </c>
      <c r="F86" s="12" t="b">
        <f t="shared" si="4"/>
        <v>1</v>
      </c>
      <c r="G86">
        <f>IF(F86,COUNTIFS(F$2:F86,TRUE),"")</f>
        <v>67</v>
      </c>
      <c r="H86" t="str">
        <f t="shared" si="5"/>
        <v>Early 7</v>
      </c>
    </row>
    <row r="87" spans="1:8" x14ac:dyDescent="0.25">
      <c r="A87" s="11" t="s">
        <v>338</v>
      </c>
      <c r="B87" s="11" t="s">
        <v>145</v>
      </c>
      <c r="C87" s="11" t="s">
        <v>283</v>
      </c>
      <c r="D87" s="11">
        <v>68.400000000000006</v>
      </c>
      <c r="E87" s="11">
        <f t="shared" si="3"/>
        <v>86</v>
      </c>
      <c r="F87" s="12" t="b">
        <f t="shared" si="4"/>
        <v>1</v>
      </c>
      <c r="G87">
        <f>IF(F87,COUNTIFS(F$2:F87,TRUE),"")</f>
        <v>68</v>
      </c>
      <c r="H87" t="str">
        <f t="shared" si="5"/>
        <v>Early 7</v>
      </c>
    </row>
    <row r="88" spans="1:8" x14ac:dyDescent="0.25">
      <c r="A88" s="11" t="s">
        <v>373</v>
      </c>
      <c r="B88" s="11" t="s">
        <v>153</v>
      </c>
      <c r="C88" s="11" t="s">
        <v>288</v>
      </c>
      <c r="D88" s="11">
        <v>67.800000000000011</v>
      </c>
      <c r="E88" s="11">
        <f t="shared" si="3"/>
        <v>87</v>
      </c>
      <c r="F88" s="12" t="b">
        <f t="shared" si="4"/>
        <v>1</v>
      </c>
      <c r="G88">
        <f>IF(F88,COUNTIFS(F$2:F88,TRUE),"")</f>
        <v>69</v>
      </c>
      <c r="H88" t="str">
        <f t="shared" si="5"/>
        <v>Early 7</v>
      </c>
    </row>
    <row r="89" spans="1:8" x14ac:dyDescent="0.25">
      <c r="A89" s="11" t="s">
        <v>457</v>
      </c>
      <c r="B89" s="11" t="s">
        <v>139</v>
      </c>
      <c r="C89" s="11" t="s">
        <v>408</v>
      </c>
      <c r="D89" s="11">
        <v>67.699999999999989</v>
      </c>
      <c r="E89" s="11">
        <f t="shared" si="3"/>
        <v>88</v>
      </c>
      <c r="F89" s="12" t="b">
        <f t="shared" si="4"/>
        <v>1</v>
      </c>
      <c r="G89">
        <f>IF(F89,COUNTIFS(F$2:F89,TRUE),"")</f>
        <v>70</v>
      </c>
      <c r="H89" t="str">
        <f t="shared" si="5"/>
        <v>Early 7</v>
      </c>
    </row>
    <row r="90" spans="1:8" x14ac:dyDescent="0.25">
      <c r="A90" s="11" t="s">
        <v>630</v>
      </c>
      <c r="B90" s="11" t="s">
        <v>116</v>
      </c>
      <c r="C90" s="11" t="s">
        <v>631</v>
      </c>
      <c r="D90" s="11">
        <v>67.440000000000055</v>
      </c>
      <c r="E90" s="11">
        <f t="shared" si="3"/>
        <v>89</v>
      </c>
      <c r="F90" s="12" t="b">
        <f t="shared" si="4"/>
        <v>1</v>
      </c>
      <c r="G90">
        <f>IF(F90,COUNTIFS(F$2:F90,TRUE),"")</f>
        <v>71</v>
      </c>
      <c r="H90" t="str">
        <f t="shared" si="5"/>
        <v>Early 7</v>
      </c>
    </row>
    <row r="91" spans="1:8" x14ac:dyDescent="0.25">
      <c r="A91" s="11" t="s">
        <v>771</v>
      </c>
      <c r="B91" s="11" t="s">
        <v>116</v>
      </c>
      <c r="C91" s="11" t="s">
        <v>772</v>
      </c>
      <c r="D91" s="11">
        <v>67.140000000000043</v>
      </c>
      <c r="E91" s="11">
        <f t="shared" si="3"/>
        <v>90</v>
      </c>
      <c r="F91" s="12" t="b">
        <f t="shared" si="4"/>
        <v>1</v>
      </c>
      <c r="G91">
        <f>IF(F91,COUNTIFS(F$2:F91,TRUE),"")</f>
        <v>72</v>
      </c>
      <c r="H91" t="str">
        <f t="shared" si="5"/>
        <v>Mid 7</v>
      </c>
    </row>
    <row r="92" spans="1:8" x14ac:dyDescent="0.25">
      <c r="A92" s="11" t="s">
        <v>697</v>
      </c>
      <c r="B92" s="11" t="s">
        <v>145</v>
      </c>
      <c r="C92" s="11" t="s">
        <v>635</v>
      </c>
      <c r="D92" s="11">
        <v>66.300000000000011</v>
      </c>
      <c r="E92" s="11">
        <f t="shared" si="3"/>
        <v>91</v>
      </c>
      <c r="F92" s="12" t="b">
        <f t="shared" si="4"/>
        <v>1</v>
      </c>
      <c r="G92">
        <f>IF(F92,COUNTIFS(F$2:F92,TRUE),"")</f>
        <v>73</v>
      </c>
      <c r="H92" t="str">
        <f t="shared" si="5"/>
        <v>Mid 7</v>
      </c>
    </row>
    <row r="93" spans="1:8" x14ac:dyDescent="0.25">
      <c r="A93" s="11" t="s">
        <v>403</v>
      </c>
      <c r="B93" s="11" t="s">
        <v>116</v>
      </c>
      <c r="C93" s="11" t="s">
        <v>404</v>
      </c>
      <c r="D93" s="11">
        <v>66.279999999999973</v>
      </c>
      <c r="E93" s="11">
        <f t="shared" si="3"/>
        <v>92</v>
      </c>
      <c r="F93" s="12" t="b">
        <f t="shared" si="4"/>
        <v>1</v>
      </c>
      <c r="G93">
        <f>IF(F93,COUNTIFS(F$2:F93,TRUE),"")</f>
        <v>74</v>
      </c>
      <c r="H93" t="str">
        <f t="shared" si="5"/>
        <v>Mid 7</v>
      </c>
    </row>
    <row r="94" spans="1:8" x14ac:dyDescent="0.25">
      <c r="A94" s="11" t="s">
        <v>723</v>
      </c>
      <c r="B94" s="11" t="s">
        <v>145</v>
      </c>
      <c r="C94" s="11" t="s">
        <v>648</v>
      </c>
      <c r="D94" s="11">
        <v>61.199999999999989</v>
      </c>
      <c r="E94" s="11">
        <f t="shared" si="3"/>
        <v>93</v>
      </c>
      <c r="F94" s="12" t="b">
        <f t="shared" si="4"/>
        <v>1</v>
      </c>
      <c r="G94">
        <f>IF(F94,COUNTIFS(F$2:F94,TRUE),"")</f>
        <v>75</v>
      </c>
      <c r="H94" t="str">
        <f t="shared" si="5"/>
        <v>Mid 7</v>
      </c>
    </row>
    <row r="95" spans="1:8" x14ac:dyDescent="0.25">
      <c r="A95" s="11" t="s">
        <v>216</v>
      </c>
      <c r="B95" s="11" t="s">
        <v>145</v>
      </c>
      <c r="C95" s="11" t="s">
        <v>167</v>
      </c>
      <c r="D95" s="11">
        <v>59.5</v>
      </c>
      <c r="E95" s="11">
        <f t="shared" si="3"/>
        <v>94</v>
      </c>
      <c r="F95" s="12" t="b">
        <f t="shared" si="4"/>
        <v>1</v>
      </c>
      <c r="G95">
        <f>IF(F95,COUNTIFS(F$2:F95,TRUE),"")</f>
        <v>76</v>
      </c>
      <c r="H95" t="str">
        <f t="shared" si="5"/>
        <v>Late 7</v>
      </c>
    </row>
    <row r="96" spans="1:8" x14ac:dyDescent="0.25">
      <c r="A96" s="11" t="s">
        <v>434</v>
      </c>
      <c r="B96" s="11" t="s">
        <v>139</v>
      </c>
      <c r="C96" s="11" t="s">
        <v>393</v>
      </c>
      <c r="D96" s="11">
        <v>59.099999999999994</v>
      </c>
      <c r="E96" s="11">
        <f t="shared" si="3"/>
        <v>95</v>
      </c>
      <c r="F96" s="12" t="b">
        <f t="shared" si="4"/>
        <v>1</v>
      </c>
      <c r="G96">
        <f>IF(F96,COUNTIFS(F$2:F96,TRUE),"")</f>
        <v>77</v>
      </c>
      <c r="H96" t="str">
        <f t="shared" si="5"/>
        <v>Late 7</v>
      </c>
    </row>
    <row r="97" spans="1:8" x14ac:dyDescent="0.25">
      <c r="A97" s="11" t="s">
        <v>823</v>
      </c>
      <c r="B97" s="11" t="s">
        <v>145</v>
      </c>
      <c r="C97" s="11" t="s">
        <v>768</v>
      </c>
      <c r="D97" s="11">
        <v>58.799999999999983</v>
      </c>
      <c r="E97" s="11">
        <f t="shared" si="3"/>
        <v>96</v>
      </c>
      <c r="F97" s="12" t="b">
        <f t="shared" si="4"/>
        <v>0</v>
      </c>
      <c r="G97" t="str">
        <f>IF(F97,COUNTIFS(F$2:F97,TRUE),"")</f>
        <v/>
      </c>
      <c r="H97" t="str">
        <f t="shared" si="5"/>
        <v>Late 7</v>
      </c>
    </row>
    <row r="98" spans="1:8" x14ac:dyDescent="0.25">
      <c r="A98" s="11" t="s">
        <v>806</v>
      </c>
      <c r="B98" s="11" t="s">
        <v>139</v>
      </c>
      <c r="C98" s="11" t="s">
        <v>779</v>
      </c>
      <c r="D98" s="11">
        <v>56.800000000000011</v>
      </c>
      <c r="E98" s="11">
        <f t="shared" si="3"/>
        <v>97</v>
      </c>
      <c r="F98" s="12" t="b">
        <f t="shared" si="4"/>
        <v>1</v>
      </c>
      <c r="G98">
        <f>IF(F98,COUNTIFS(F$2:F98,TRUE),"")</f>
        <v>78</v>
      </c>
      <c r="H98" t="str">
        <f t="shared" si="5"/>
        <v>Late 7</v>
      </c>
    </row>
    <row r="99" spans="1:8" x14ac:dyDescent="0.25">
      <c r="A99" s="11" t="s">
        <v>682</v>
      </c>
      <c r="B99" s="11" t="s">
        <v>139</v>
      </c>
      <c r="C99" s="11" t="s">
        <v>107</v>
      </c>
      <c r="D99" s="11">
        <v>55.900000000000006</v>
      </c>
      <c r="E99" s="11">
        <f t="shared" si="3"/>
        <v>98</v>
      </c>
      <c r="F99" s="12" t="b">
        <f t="shared" si="4"/>
        <v>1</v>
      </c>
      <c r="G99">
        <f>IF(F99,COUNTIFS(F$2:F99,TRUE),"")</f>
        <v>79</v>
      </c>
      <c r="H99" t="str">
        <f t="shared" si="5"/>
        <v>Late 7</v>
      </c>
    </row>
    <row r="100" spans="1:8" x14ac:dyDescent="0.25">
      <c r="A100" s="11" t="s">
        <v>339</v>
      </c>
      <c r="B100" s="11" t="s">
        <v>145</v>
      </c>
      <c r="C100" s="11" t="s">
        <v>283</v>
      </c>
      <c r="D100" s="11">
        <v>55.099999999999994</v>
      </c>
      <c r="E100" s="11">
        <f t="shared" si="3"/>
        <v>99</v>
      </c>
      <c r="F100" s="12" t="b">
        <f t="shared" si="4"/>
        <v>1</v>
      </c>
      <c r="G100">
        <f>IF(F100,COUNTIFS(F$2:F100,TRUE),"")</f>
        <v>80</v>
      </c>
      <c r="H100" t="str">
        <f t="shared" si="5"/>
        <v>Early 8</v>
      </c>
    </row>
    <row r="101" spans="1:8" x14ac:dyDescent="0.25">
      <c r="A101" s="11" t="s">
        <v>869</v>
      </c>
      <c r="B101" s="11" t="s">
        <v>153</v>
      </c>
      <c r="C101" s="11" t="s">
        <v>772</v>
      </c>
      <c r="D101" s="11">
        <v>53.599999999999994</v>
      </c>
      <c r="E101" s="11">
        <f t="shared" si="3"/>
        <v>100</v>
      </c>
      <c r="F101" s="12" t="b">
        <f t="shared" si="4"/>
        <v>1</v>
      </c>
      <c r="G101">
        <f>IF(F101,COUNTIFS(F$2:F101,TRUE),"")</f>
        <v>81</v>
      </c>
      <c r="H101" t="str">
        <f t="shared" si="5"/>
        <v>Early 8</v>
      </c>
    </row>
    <row r="102" spans="1:8" x14ac:dyDescent="0.25">
      <c r="A102" t="s">
        <v>860</v>
      </c>
      <c r="B102" t="s">
        <v>145</v>
      </c>
      <c r="C102" t="s">
        <v>787</v>
      </c>
      <c r="D102">
        <v>52.699999999999989</v>
      </c>
      <c r="E102">
        <f t="shared" si="3"/>
        <v>101</v>
      </c>
      <c r="F102" s="12" t="b">
        <f t="shared" si="4"/>
        <v>1</v>
      </c>
      <c r="G102">
        <f>IF(F102,COUNTIFS(F$2:F102,TRUE),"")</f>
        <v>82</v>
      </c>
      <c r="H102" t="str">
        <f t="shared" si="5"/>
        <v>Early 8</v>
      </c>
    </row>
    <row r="103" spans="1:8" x14ac:dyDescent="0.25">
      <c r="A103" s="11" t="s">
        <v>660</v>
      </c>
      <c r="B103" s="11" t="s">
        <v>139</v>
      </c>
      <c r="C103" s="11" t="s">
        <v>635</v>
      </c>
      <c r="D103" s="11">
        <v>52.199999999999989</v>
      </c>
      <c r="E103" s="11">
        <f t="shared" si="3"/>
        <v>102</v>
      </c>
      <c r="F103" s="12" t="b">
        <f t="shared" si="4"/>
        <v>1</v>
      </c>
      <c r="G103">
        <f>IF(F103,COUNTIFS(F$2:F103,TRUE),"")</f>
        <v>83</v>
      </c>
      <c r="H103" t="str">
        <f t="shared" si="5"/>
        <v>Early 8</v>
      </c>
    </row>
    <row r="104" spans="1:8" x14ac:dyDescent="0.25">
      <c r="A104" s="11" t="s">
        <v>362</v>
      </c>
      <c r="B104" s="11" t="s">
        <v>153</v>
      </c>
      <c r="C104" s="11" t="s">
        <v>273</v>
      </c>
      <c r="D104" s="11">
        <v>49.599999999999994</v>
      </c>
      <c r="E104" s="11">
        <f t="shared" si="3"/>
        <v>103</v>
      </c>
      <c r="F104" s="12" t="b">
        <f t="shared" si="4"/>
        <v>1</v>
      </c>
      <c r="G104">
        <f>IF(F104,COUNTIFS(F$2:F104,TRUE),"")</f>
        <v>84</v>
      </c>
      <c r="H104" t="str">
        <f t="shared" si="5"/>
        <v>Early 8</v>
      </c>
    </row>
    <row r="105" spans="1:8" x14ac:dyDescent="0.25">
      <c r="A105" s="11" t="s">
        <v>208</v>
      </c>
      <c r="B105" s="11" t="s">
        <v>145</v>
      </c>
      <c r="C105" s="11" t="s">
        <v>162</v>
      </c>
      <c r="D105" s="11">
        <v>49.400000000000006</v>
      </c>
      <c r="E105" s="11">
        <f t="shared" si="3"/>
        <v>104</v>
      </c>
      <c r="F105" s="12" t="b">
        <f t="shared" si="4"/>
        <v>1</v>
      </c>
      <c r="G105">
        <f>IF(F105,COUNTIFS(F$2:F105,TRUE),"")</f>
        <v>85</v>
      </c>
      <c r="H105" t="str">
        <f t="shared" si="5"/>
        <v>Mid 8</v>
      </c>
    </row>
    <row r="106" spans="1:8" x14ac:dyDescent="0.25">
      <c r="A106" s="11" t="s">
        <v>186</v>
      </c>
      <c r="B106" s="11" t="s">
        <v>139</v>
      </c>
      <c r="C106" s="11" t="s">
        <v>167</v>
      </c>
      <c r="D106" s="11">
        <v>49.199999999999989</v>
      </c>
      <c r="E106" s="11">
        <f t="shared" si="3"/>
        <v>105</v>
      </c>
      <c r="F106" s="12" t="b">
        <f t="shared" si="4"/>
        <v>1</v>
      </c>
      <c r="G106">
        <f>IF(F106,COUNTIFS(F$2:F106,TRUE),"")</f>
        <v>86</v>
      </c>
      <c r="H106" t="str">
        <f t="shared" si="5"/>
        <v>Mid 8</v>
      </c>
    </row>
    <row r="107" spans="1:8" x14ac:dyDescent="0.25">
      <c r="A107" s="11" t="s">
        <v>553</v>
      </c>
      <c r="B107" s="11" t="s">
        <v>145</v>
      </c>
      <c r="C107" s="11" t="s">
        <v>426</v>
      </c>
      <c r="D107" s="11">
        <v>48.900000000000006</v>
      </c>
      <c r="E107" s="11">
        <f t="shared" si="3"/>
        <v>106</v>
      </c>
      <c r="F107" s="12" t="b">
        <f t="shared" si="4"/>
        <v>1</v>
      </c>
      <c r="G107">
        <f>IF(F107,COUNTIFS(F$2:F107,TRUE),"")</f>
        <v>87</v>
      </c>
      <c r="H107" t="str">
        <f t="shared" si="5"/>
        <v>Mid 8</v>
      </c>
    </row>
    <row r="108" spans="1:8" x14ac:dyDescent="0.25">
      <c r="A108" s="11" t="s">
        <v>370</v>
      </c>
      <c r="B108" s="11" t="s">
        <v>153</v>
      </c>
      <c r="C108" s="11" t="s">
        <v>283</v>
      </c>
      <c r="D108" s="11">
        <v>48.400000000000006</v>
      </c>
      <c r="E108" s="11">
        <f t="shared" si="3"/>
        <v>107</v>
      </c>
      <c r="F108" s="12" t="b">
        <f t="shared" si="4"/>
        <v>0</v>
      </c>
      <c r="G108" t="str">
        <f>IF(F108,COUNTIFS(F$2:F108,TRUE),"")</f>
        <v/>
      </c>
      <c r="H108" t="str">
        <f t="shared" si="5"/>
        <v>Mid 8</v>
      </c>
    </row>
    <row r="109" spans="1:8" x14ac:dyDescent="0.25">
      <c r="A109" t="s">
        <v>349</v>
      </c>
      <c r="B109" t="s">
        <v>145</v>
      </c>
      <c r="C109" t="s">
        <v>288</v>
      </c>
      <c r="D109">
        <v>48.199999999999989</v>
      </c>
      <c r="E109">
        <f t="shared" si="3"/>
        <v>108</v>
      </c>
      <c r="F109" s="12" t="b">
        <f t="shared" si="4"/>
        <v>1</v>
      </c>
      <c r="G109">
        <f>IF(F109,COUNTIFS(F$2:F109,TRUE),"")</f>
        <v>88</v>
      </c>
      <c r="H109" t="str">
        <f t="shared" si="5"/>
        <v>Late 8</v>
      </c>
    </row>
    <row r="110" spans="1:8" x14ac:dyDescent="0.25">
      <c r="A110" t="s">
        <v>747</v>
      </c>
      <c r="B110" t="s">
        <v>153</v>
      </c>
      <c r="C110" t="s">
        <v>648</v>
      </c>
      <c r="D110">
        <v>48.099999999999994</v>
      </c>
      <c r="E110">
        <f t="shared" si="3"/>
        <v>109</v>
      </c>
      <c r="F110" s="12" t="b">
        <f t="shared" si="4"/>
        <v>1</v>
      </c>
      <c r="G110">
        <f>IF(F110,COUNTIFS(F$2:F110,TRUE),"")</f>
        <v>89</v>
      </c>
      <c r="H110" t="str">
        <f t="shared" si="5"/>
        <v>Late 8</v>
      </c>
    </row>
    <row r="111" spans="1:8" x14ac:dyDescent="0.25">
      <c r="A111" s="11" t="s">
        <v>691</v>
      </c>
      <c r="B111" s="11" t="s">
        <v>145</v>
      </c>
      <c r="C111" s="11" t="s">
        <v>631</v>
      </c>
      <c r="D111" s="11">
        <v>47.099999999999994</v>
      </c>
      <c r="E111" s="11">
        <f t="shared" si="3"/>
        <v>110.5</v>
      </c>
      <c r="F111" s="12" t="b">
        <f t="shared" si="4"/>
        <v>1</v>
      </c>
      <c r="G111">
        <f>IF(F111,COUNTIFS(F$2:F111,TRUE),"")</f>
        <v>90</v>
      </c>
      <c r="H111" t="str">
        <f t="shared" si="5"/>
        <v>Late 8</v>
      </c>
    </row>
    <row r="112" spans="1:8" x14ac:dyDescent="0.25">
      <c r="A112" s="11" t="s">
        <v>584</v>
      </c>
      <c r="B112" s="11" t="s">
        <v>153</v>
      </c>
      <c r="C112" s="11" t="s">
        <v>408</v>
      </c>
      <c r="D112" s="11">
        <v>47.099999999999994</v>
      </c>
      <c r="E112" s="11">
        <f t="shared" si="3"/>
        <v>110.5</v>
      </c>
      <c r="F112" s="12" t="b">
        <f t="shared" si="4"/>
        <v>1</v>
      </c>
      <c r="G112">
        <f>IF(F112,COUNTIFS(F$2:F112,TRUE),"")</f>
        <v>91</v>
      </c>
      <c r="H112" t="str">
        <f t="shared" si="5"/>
        <v>Late 8</v>
      </c>
    </row>
    <row r="113" spans="1:8" x14ac:dyDescent="0.25">
      <c r="A113" s="11" t="s">
        <v>306</v>
      </c>
      <c r="B113" s="11" t="s">
        <v>139</v>
      </c>
      <c r="C113" s="11" t="s">
        <v>283</v>
      </c>
      <c r="D113" s="11">
        <v>46.5</v>
      </c>
      <c r="E113" s="11">
        <f t="shared" si="3"/>
        <v>112</v>
      </c>
      <c r="F113" s="12" t="b">
        <f t="shared" si="4"/>
        <v>1</v>
      </c>
      <c r="G113">
        <f>IF(F113,COUNTIFS(F$2:F113,TRUE),"")</f>
        <v>92</v>
      </c>
      <c r="H113" t="str">
        <f t="shared" si="5"/>
        <v>Late 8</v>
      </c>
    </row>
    <row r="114" spans="1:8" x14ac:dyDescent="0.25">
      <c r="A114" s="11" t="s">
        <v>366</v>
      </c>
      <c r="B114" s="11" t="s">
        <v>153</v>
      </c>
      <c r="C114" s="11" t="s">
        <v>279</v>
      </c>
      <c r="D114" s="11">
        <v>46.099999999999994</v>
      </c>
      <c r="E114" s="11">
        <f t="shared" si="3"/>
        <v>113</v>
      </c>
      <c r="F114" s="12" t="b">
        <f t="shared" si="4"/>
        <v>0</v>
      </c>
      <c r="G114" t="str">
        <f>IF(F114,COUNTIFS(F$2:F114,TRUE),"")</f>
        <v/>
      </c>
      <c r="H114" t="str">
        <f t="shared" si="5"/>
        <v>Early 9</v>
      </c>
    </row>
    <row r="115" spans="1:8" x14ac:dyDescent="0.25">
      <c r="A115" s="11" t="s">
        <v>458</v>
      </c>
      <c r="B115" s="11" t="s">
        <v>139</v>
      </c>
      <c r="C115" s="11" t="s">
        <v>408</v>
      </c>
      <c r="D115" s="11">
        <v>45.400000000000006</v>
      </c>
      <c r="E115" s="11">
        <f t="shared" si="3"/>
        <v>114</v>
      </c>
      <c r="F115" s="12" t="b">
        <f t="shared" si="4"/>
        <v>1</v>
      </c>
      <c r="G115">
        <f>IF(F115,COUNTIFS(F$2:F115,TRUE),"")</f>
        <v>93</v>
      </c>
      <c r="H115" t="str">
        <f t="shared" si="5"/>
        <v>Early 9</v>
      </c>
    </row>
    <row r="116" spans="1:8" x14ac:dyDescent="0.25">
      <c r="A116" s="11" t="s">
        <v>724</v>
      </c>
      <c r="B116" s="11" t="s">
        <v>145</v>
      </c>
      <c r="C116" s="11" t="s">
        <v>648</v>
      </c>
      <c r="D116" s="11">
        <v>45.200000000000017</v>
      </c>
      <c r="E116" s="11">
        <f t="shared" si="3"/>
        <v>115</v>
      </c>
      <c r="F116" s="12" t="b">
        <f t="shared" si="4"/>
        <v>1</v>
      </c>
      <c r="G116">
        <f>IF(F116,COUNTIFS(F$2:F116,TRUE),"")</f>
        <v>94</v>
      </c>
      <c r="H116" t="str">
        <f t="shared" si="5"/>
        <v>Early 9</v>
      </c>
    </row>
    <row r="117" spans="1:8" x14ac:dyDescent="0.25">
      <c r="A117" s="11" t="s">
        <v>217</v>
      </c>
      <c r="B117" s="11" t="s">
        <v>145</v>
      </c>
      <c r="C117" s="11" t="s">
        <v>167</v>
      </c>
      <c r="D117" s="11">
        <v>44.300000000000011</v>
      </c>
      <c r="E117" s="11">
        <f t="shared" si="3"/>
        <v>116</v>
      </c>
      <c r="F117" s="12" t="b">
        <f t="shared" si="4"/>
        <v>1</v>
      </c>
      <c r="G117">
        <f>IF(F117,COUNTIFS(F$2:F117,TRUE),"")</f>
        <v>95</v>
      </c>
      <c r="H117" t="str">
        <f t="shared" si="5"/>
        <v>Early 9</v>
      </c>
    </row>
    <row r="118" spans="1:8" x14ac:dyDescent="0.25">
      <c r="A118" s="11" t="s">
        <v>516</v>
      </c>
      <c r="B118" s="11" t="s">
        <v>145</v>
      </c>
      <c r="C118" s="11" t="s">
        <v>404</v>
      </c>
      <c r="D118" s="11">
        <v>42.799999999999983</v>
      </c>
      <c r="E118" s="11">
        <f t="shared" si="3"/>
        <v>117</v>
      </c>
      <c r="F118" s="12" t="b">
        <f t="shared" si="4"/>
        <v>1</v>
      </c>
      <c r="G118">
        <f>IF(F118,COUNTIFS(F$2:F118,TRUE),"")</f>
        <v>96</v>
      </c>
      <c r="H118" t="str">
        <f t="shared" si="5"/>
        <v>Early 9</v>
      </c>
    </row>
    <row r="119" spans="1:8" x14ac:dyDescent="0.25">
      <c r="A119" t="s">
        <v>218</v>
      </c>
      <c r="B119" t="s">
        <v>145</v>
      </c>
      <c r="C119" t="s">
        <v>167</v>
      </c>
      <c r="D119">
        <v>41.5</v>
      </c>
      <c r="E119">
        <f t="shared" si="3"/>
        <v>118</v>
      </c>
      <c r="F119" s="12" t="b">
        <f t="shared" si="4"/>
        <v>1</v>
      </c>
      <c r="G119">
        <f>IF(F119,COUNTIFS(F$2:F119,TRUE),"")</f>
        <v>97</v>
      </c>
      <c r="H119" t="str">
        <f t="shared" si="5"/>
        <v>Mid 9</v>
      </c>
    </row>
    <row r="120" spans="1:8" x14ac:dyDescent="0.25">
      <c r="A120" s="11" t="s">
        <v>647</v>
      </c>
      <c r="B120" s="11" t="s">
        <v>116</v>
      </c>
      <c r="C120" s="11" t="s">
        <v>648</v>
      </c>
      <c r="D120" s="11">
        <v>41.160000000000025</v>
      </c>
      <c r="E120" s="11">
        <f t="shared" si="3"/>
        <v>119</v>
      </c>
      <c r="F120" s="12" t="b">
        <f t="shared" si="4"/>
        <v>1</v>
      </c>
      <c r="G120">
        <f>IF(F120,COUNTIFS(F$2:F120,TRUE),"")</f>
        <v>98</v>
      </c>
      <c r="H120" t="str">
        <f t="shared" si="5"/>
        <v>Mid 9</v>
      </c>
    </row>
    <row r="121" spans="1:8" x14ac:dyDescent="0.25">
      <c r="A121" s="11" t="s">
        <v>767</v>
      </c>
      <c r="B121" s="11" t="s">
        <v>116</v>
      </c>
      <c r="C121" s="11" t="s">
        <v>768</v>
      </c>
      <c r="D121" s="11">
        <v>37.819999999999993</v>
      </c>
      <c r="E121" s="11">
        <f t="shared" si="3"/>
        <v>120</v>
      </c>
      <c r="F121" s="12" t="b">
        <f t="shared" si="4"/>
        <v>1</v>
      </c>
      <c r="G121">
        <f>IF(F121,COUNTIFS(F$2:F121,TRUE),"")</f>
        <v>99</v>
      </c>
      <c r="H121" t="str">
        <f t="shared" si="5"/>
        <v>Mid 9</v>
      </c>
    </row>
    <row r="122" spans="1:8" x14ac:dyDescent="0.25">
      <c r="A122" s="11" t="s">
        <v>580</v>
      </c>
      <c r="B122" s="11" t="s">
        <v>153</v>
      </c>
      <c r="C122" s="11" t="s">
        <v>404</v>
      </c>
      <c r="D122" s="11">
        <v>36</v>
      </c>
      <c r="E122" s="11">
        <f t="shared" si="3"/>
        <v>121</v>
      </c>
      <c r="F122" s="12" t="b">
        <f t="shared" si="4"/>
        <v>1</v>
      </c>
      <c r="G122">
        <f>IF(F122,COUNTIFS(F$2:F122,TRUE),"")</f>
        <v>100</v>
      </c>
      <c r="H122" t="str">
        <f t="shared" si="5"/>
        <v>Mid 9</v>
      </c>
    </row>
    <row r="123" spans="1:8" x14ac:dyDescent="0.25">
      <c r="A123" s="11" t="s">
        <v>634</v>
      </c>
      <c r="B123" s="11" t="s">
        <v>116</v>
      </c>
      <c r="C123" s="11" t="s">
        <v>635</v>
      </c>
      <c r="D123" s="11">
        <v>35.400000000000091</v>
      </c>
      <c r="E123" s="11">
        <f t="shared" si="3"/>
        <v>122</v>
      </c>
      <c r="F123" s="12" t="b">
        <f t="shared" si="4"/>
        <v>1</v>
      </c>
      <c r="G123">
        <f>IF(F123,COUNTIFS(F$2:F123,TRUE),"")</f>
        <v>101</v>
      </c>
      <c r="H123" t="str">
        <f t="shared" si="5"/>
        <v>Late 9</v>
      </c>
    </row>
    <row r="124" spans="1:8" x14ac:dyDescent="0.25">
      <c r="A124" t="s">
        <v>851</v>
      </c>
      <c r="B124" t="s">
        <v>145</v>
      </c>
      <c r="C124" t="s">
        <v>783</v>
      </c>
      <c r="D124">
        <v>35.400000000000006</v>
      </c>
      <c r="E124">
        <f t="shared" si="3"/>
        <v>123</v>
      </c>
      <c r="F124" s="12" t="b">
        <f t="shared" si="4"/>
        <v>1</v>
      </c>
      <c r="G124">
        <f>IF(F124,COUNTIFS(F$2:F124,TRUE),"")</f>
        <v>102</v>
      </c>
      <c r="H124" t="str">
        <f t="shared" si="5"/>
        <v>Late 9</v>
      </c>
    </row>
    <row r="125" spans="1:8" x14ac:dyDescent="0.25">
      <c r="A125" s="11" t="s">
        <v>744</v>
      </c>
      <c r="B125" s="11" t="s">
        <v>153</v>
      </c>
      <c r="C125" s="11" t="s">
        <v>107</v>
      </c>
      <c r="D125" s="11">
        <v>34.300000000000011</v>
      </c>
      <c r="E125" s="11">
        <f t="shared" si="3"/>
        <v>124</v>
      </c>
      <c r="F125" s="12" t="b">
        <f t="shared" si="4"/>
        <v>1</v>
      </c>
      <c r="G125">
        <f>IF(F125,COUNTIFS(F$2:F125,TRUE),"")</f>
        <v>103</v>
      </c>
      <c r="H125" t="str">
        <f t="shared" si="5"/>
        <v>Late 9</v>
      </c>
    </row>
    <row r="126" spans="1:8" x14ac:dyDescent="0.25">
      <c r="A126" s="11" t="s">
        <v>668</v>
      </c>
      <c r="B126" s="11" t="s">
        <v>139</v>
      </c>
      <c r="C126" s="11" t="s">
        <v>639</v>
      </c>
      <c r="D126" s="11">
        <v>34</v>
      </c>
      <c r="E126" s="11">
        <f t="shared" si="3"/>
        <v>125.5</v>
      </c>
      <c r="F126" s="12" t="b">
        <f t="shared" si="4"/>
        <v>1</v>
      </c>
      <c r="G126">
        <f>IF(F126,COUNTIFS(F$2:F126,TRUE),"")</f>
        <v>104</v>
      </c>
      <c r="H126" t="str">
        <f t="shared" si="5"/>
        <v>Late 9</v>
      </c>
    </row>
    <row r="127" spans="1:8" x14ac:dyDescent="0.25">
      <c r="A127" t="s">
        <v>539</v>
      </c>
      <c r="B127" t="s">
        <v>145</v>
      </c>
      <c r="C127" t="s">
        <v>417</v>
      </c>
      <c r="D127">
        <v>34</v>
      </c>
      <c r="E127">
        <f t="shared" si="3"/>
        <v>125.5</v>
      </c>
      <c r="F127" s="12" t="b">
        <f t="shared" si="4"/>
        <v>1</v>
      </c>
      <c r="G127">
        <f>IF(F127,COUNTIFS(F$2:F127,TRUE),"")</f>
        <v>105</v>
      </c>
      <c r="H127" t="str">
        <f t="shared" si="5"/>
        <v>Late 9</v>
      </c>
    </row>
    <row r="128" spans="1:8" x14ac:dyDescent="0.25">
      <c r="A128" s="11" t="s">
        <v>239</v>
      </c>
      <c r="B128" s="11" t="s">
        <v>145</v>
      </c>
      <c r="C128" s="11" t="s">
        <v>176</v>
      </c>
      <c r="D128" s="11">
        <v>33.300000000000011</v>
      </c>
      <c r="E128" s="11">
        <f t="shared" si="3"/>
        <v>127</v>
      </c>
      <c r="F128" s="12" t="b">
        <f t="shared" si="4"/>
        <v>1</v>
      </c>
      <c r="G128">
        <f>IF(F128,COUNTIFS(F$2:F128,TRUE),"")</f>
        <v>106</v>
      </c>
      <c r="H128" t="str">
        <f t="shared" si="5"/>
        <v>Early 10</v>
      </c>
    </row>
    <row r="129" spans="1:8" x14ac:dyDescent="0.25">
      <c r="A129" s="11" t="s">
        <v>407</v>
      </c>
      <c r="B129" s="11" t="s">
        <v>116</v>
      </c>
      <c r="C129" s="11" t="s">
        <v>408</v>
      </c>
      <c r="D129" s="11">
        <v>32.000000000000057</v>
      </c>
      <c r="E129" s="11">
        <f t="shared" si="3"/>
        <v>128</v>
      </c>
      <c r="F129" s="12" t="b">
        <f t="shared" si="4"/>
        <v>1</v>
      </c>
      <c r="G129">
        <f>IF(F129,COUNTIFS(F$2:F129,TRUE),"")</f>
        <v>107</v>
      </c>
      <c r="H129" t="str">
        <f t="shared" si="5"/>
        <v>Early 10</v>
      </c>
    </row>
    <row r="130" spans="1:8" x14ac:dyDescent="0.25">
      <c r="A130" t="s">
        <v>228</v>
      </c>
      <c r="B130" t="s">
        <v>145</v>
      </c>
      <c r="C130" t="s">
        <v>172</v>
      </c>
      <c r="D130">
        <v>31.699999999999989</v>
      </c>
      <c r="E130">
        <f t="shared" ref="E130:E193" si="6">_xlfn.RANK.AVG(D130,$D$2:$D$738,0)</f>
        <v>129</v>
      </c>
      <c r="F130" s="12" t="b">
        <f t="shared" si="4"/>
        <v>1</v>
      </c>
      <c r="G130">
        <f>IF(F130,COUNTIFS(F$2:F130,TRUE),"")</f>
        <v>108</v>
      </c>
      <c r="H130" t="str">
        <f t="shared" si="5"/>
        <v>Early 10</v>
      </c>
    </row>
    <row r="131" spans="1:8" x14ac:dyDescent="0.25">
      <c r="A131" s="11" t="s">
        <v>256</v>
      </c>
      <c r="B131" s="11" t="s">
        <v>153</v>
      </c>
      <c r="C131" s="11" t="s">
        <v>172</v>
      </c>
      <c r="D131" s="11">
        <v>30.799999999999997</v>
      </c>
      <c r="E131" s="11">
        <f t="shared" si="6"/>
        <v>130</v>
      </c>
      <c r="F131" s="12" t="b">
        <f t="shared" ref="F131:F194" si="7">color_fill(E131)</f>
        <v>1</v>
      </c>
      <c r="G131">
        <f>IF(F131,COUNTIFS(F$2:F131,TRUE),"")</f>
        <v>109</v>
      </c>
      <c r="H131" t="str">
        <f t="shared" ref="H131:H194" si="8">VLOOKUP(MOD(E131,14),$Q$2:$R$5,2,TRUE)&amp;" "&amp;_xlfn.CEILING.MATH((E131)/14)</f>
        <v>Early 10</v>
      </c>
    </row>
    <row r="132" spans="1:8" x14ac:dyDescent="0.25">
      <c r="A132" s="11" t="s">
        <v>686</v>
      </c>
      <c r="B132" s="11" t="s">
        <v>139</v>
      </c>
      <c r="C132" s="11" t="s">
        <v>648</v>
      </c>
      <c r="D132" s="11">
        <v>30.600000000000009</v>
      </c>
      <c r="E132" s="11">
        <f t="shared" si="6"/>
        <v>131</v>
      </c>
      <c r="F132" s="12" t="b">
        <f t="shared" si="7"/>
        <v>1</v>
      </c>
      <c r="G132">
        <f>IF(F132,COUNTIFS(F$2:F132,TRUE),"")</f>
        <v>110</v>
      </c>
      <c r="H132" t="str">
        <f t="shared" si="8"/>
        <v>Early 10</v>
      </c>
    </row>
    <row r="133" spans="1:8" x14ac:dyDescent="0.25">
      <c r="A133" s="11" t="s">
        <v>567</v>
      </c>
      <c r="B133" s="11" t="s">
        <v>153</v>
      </c>
      <c r="C133" s="11" t="s">
        <v>393</v>
      </c>
      <c r="D133" s="11">
        <v>29.799999999999997</v>
      </c>
      <c r="E133" s="11">
        <f t="shared" si="6"/>
        <v>132</v>
      </c>
      <c r="F133" s="12" t="b">
        <f t="shared" si="7"/>
        <v>1</v>
      </c>
      <c r="G133">
        <f>IF(F133,COUNTIFS(F$2:F133,TRUE),"")</f>
        <v>111</v>
      </c>
      <c r="H133" t="str">
        <f t="shared" si="8"/>
        <v>Mid 10</v>
      </c>
    </row>
    <row r="134" spans="1:8" x14ac:dyDescent="0.25">
      <c r="A134" s="11" t="s">
        <v>159</v>
      </c>
      <c r="B134" s="11" t="s">
        <v>160</v>
      </c>
      <c r="C134" s="11" t="s">
        <v>135</v>
      </c>
      <c r="D134" s="11">
        <v>28</v>
      </c>
      <c r="E134" s="11">
        <f t="shared" si="6"/>
        <v>133</v>
      </c>
      <c r="F134" s="12" t="b">
        <f>color_fill(E134)</f>
        <v>1</v>
      </c>
      <c r="G134">
        <f>IF(F134,COUNTIFS(F$2:F134,TRUE),"")</f>
        <v>112</v>
      </c>
      <c r="H134" t="str">
        <f t="shared" si="8"/>
        <v>Mid 10</v>
      </c>
    </row>
    <row r="135" spans="1:8" x14ac:dyDescent="0.25">
      <c r="A135" t="s">
        <v>831</v>
      </c>
      <c r="B135" t="s">
        <v>145</v>
      </c>
      <c r="C135" t="s">
        <v>772</v>
      </c>
      <c r="D135">
        <v>27</v>
      </c>
      <c r="E135">
        <f t="shared" si="6"/>
        <v>134</v>
      </c>
      <c r="F135" s="12" t="b">
        <f t="shared" si="7"/>
        <v>1</v>
      </c>
      <c r="G135">
        <f>IF(F135,COUNTIFS(F$2:F135,TRUE),"")</f>
        <v>113</v>
      </c>
      <c r="H135" t="str">
        <f t="shared" si="8"/>
        <v>Mid 10</v>
      </c>
    </row>
    <row r="136" spans="1:8" x14ac:dyDescent="0.25">
      <c r="A136" s="11" t="s">
        <v>134</v>
      </c>
      <c r="B136" s="11" t="s">
        <v>116</v>
      </c>
      <c r="C136" s="11" t="s">
        <v>135</v>
      </c>
      <c r="D136" s="11">
        <v>26.560000000000002</v>
      </c>
      <c r="E136" s="11">
        <f t="shared" si="6"/>
        <v>135</v>
      </c>
      <c r="F136" s="12" t="b">
        <f t="shared" si="7"/>
        <v>0</v>
      </c>
      <c r="G136" t="str">
        <f>IF(F136,COUNTIFS(F$2:F136,TRUE),"")</f>
        <v/>
      </c>
      <c r="H136" t="str">
        <f t="shared" si="8"/>
        <v>Mid 10</v>
      </c>
    </row>
    <row r="137" spans="1:8" x14ac:dyDescent="0.25">
      <c r="A137" s="11" t="s">
        <v>486</v>
      </c>
      <c r="B137" s="11" t="s">
        <v>139</v>
      </c>
      <c r="C137" s="11" t="s">
        <v>430</v>
      </c>
      <c r="D137" s="11">
        <v>26.099999999999994</v>
      </c>
      <c r="E137" s="11">
        <f t="shared" si="6"/>
        <v>136</v>
      </c>
      <c r="F137" s="12" t="b">
        <f t="shared" si="7"/>
        <v>1</v>
      </c>
      <c r="G137">
        <f>IF(F137,COUNTIFS(F$2:F137,TRUE),"")</f>
        <v>114</v>
      </c>
      <c r="H137" t="str">
        <f t="shared" si="8"/>
        <v>Late 10</v>
      </c>
    </row>
    <row r="138" spans="1:8" x14ac:dyDescent="0.25">
      <c r="A138" s="11" t="s">
        <v>391</v>
      </c>
      <c r="B138" s="11" t="s">
        <v>160</v>
      </c>
      <c r="C138" s="11" t="s">
        <v>292</v>
      </c>
      <c r="D138" s="11">
        <v>25</v>
      </c>
      <c r="E138" s="11">
        <f t="shared" si="6"/>
        <v>137</v>
      </c>
      <c r="F138" s="12" t="b">
        <f t="shared" si="7"/>
        <v>1</v>
      </c>
      <c r="G138">
        <f>IF(F138,COUNTIFS(F$2:F138,TRUE),"")</f>
        <v>115</v>
      </c>
      <c r="H138" t="str">
        <f t="shared" si="8"/>
        <v>Late 10</v>
      </c>
    </row>
    <row r="139" spans="1:8" x14ac:dyDescent="0.25">
      <c r="A139" s="11" t="s">
        <v>333</v>
      </c>
      <c r="B139" s="11" t="s">
        <v>145</v>
      </c>
      <c r="C139" s="11" t="s">
        <v>279</v>
      </c>
      <c r="D139" s="11">
        <v>24.700000000000003</v>
      </c>
      <c r="E139" s="11">
        <f t="shared" si="6"/>
        <v>138</v>
      </c>
      <c r="F139" s="12" t="b">
        <f t="shared" si="7"/>
        <v>1</v>
      </c>
      <c r="G139">
        <f>IF(F139,COUNTIFS(F$2:F139,TRUE),"")</f>
        <v>116</v>
      </c>
      <c r="H139" t="str">
        <f t="shared" si="8"/>
        <v>Late 10</v>
      </c>
    </row>
    <row r="140" spans="1:8" x14ac:dyDescent="0.25">
      <c r="A140" s="11" t="s">
        <v>475</v>
      </c>
      <c r="B140" s="11" t="s">
        <v>139</v>
      </c>
      <c r="C140" s="11" t="s">
        <v>421</v>
      </c>
      <c r="D140" s="11">
        <v>24.200000000000003</v>
      </c>
      <c r="E140" s="11">
        <f t="shared" si="6"/>
        <v>139</v>
      </c>
      <c r="F140" s="12" t="b">
        <f t="shared" si="7"/>
        <v>1</v>
      </c>
      <c r="G140">
        <f>IF(F140,COUNTIFS(F$2:F140,TRUE),"")</f>
        <v>117</v>
      </c>
      <c r="H140" t="str">
        <f t="shared" si="8"/>
        <v>Late 10</v>
      </c>
    </row>
    <row r="141" spans="1:8" x14ac:dyDescent="0.25">
      <c r="A141" s="11" t="s">
        <v>852</v>
      </c>
      <c r="B141" s="11" t="s">
        <v>145</v>
      </c>
      <c r="C141" s="11" t="s">
        <v>783</v>
      </c>
      <c r="D141" s="11">
        <v>24.199999999999989</v>
      </c>
      <c r="E141" s="11">
        <f t="shared" si="6"/>
        <v>140</v>
      </c>
      <c r="F141" s="12" t="b">
        <f t="shared" si="7"/>
        <v>1</v>
      </c>
      <c r="G141">
        <f>IF(F141,COUNTIFS(F$2:F141,TRUE),"")</f>
        <v>118</v>
      </c>
      <c r="H141" t="str">
        <f t="shared" si="8"/>
        <v>Late 10</v>
      </c>
    </row>
    <row r="142" spans="1:8" x14ac:dyDescent="0.25">
      <c r="A142" s="11" t="s">
        <v>619</v>
      </c>
      <c r="B142" s="11" t="s">
        <v>158</v>
      </c>
      <c r="C142" s="11" t="s">
        <v>430</v>
      </c>
      <c r="D142" s="11">
        <v>23.5</v>
      </c>
      <c r="E142" s="11">
        <f t="shared" si="6"/>
        <v>141</v>
      </c>
      <c r="F142" s="12" t="b">
        <f t="shared" si="7"/>
        <v>1</v>
      </c>
      <c r="G142">
        <f>IF(F142,COUNTIFS(F$2:F142,TRUE),"")</f>
        <v>119</v>
      </c>
      <c r="H142" t="str">
        <f t="shared" si="8"/>
        <v>Early 11</v>
      </c>
    </row>
    <row r="143" spans="1:8" x14ac:dyDescent="0.25">
      <c r="A143" s="11" t="s">
        <v>628</v>
      </c>
      <c r="B143" s="11" t="s">
        <v>160</v>
      </c>
      <c r="C143" s="11" t="s">
        <v>426</v>
      </c>
      <c r="D143" s="11">
        <v>22</v>
      </c>
      <c r="E143" s="11">
        <f t="shared" si="6"/>
        <v>142.5</v>
      </c>
      <c r="F143" s="12" t="b">
        <f t="shared" si="7"/>
        <v>1</v>
      </c>
      <c r="G143">
        <f>IF(F143,COUNTIFS(F$2:F143,TRUE),"")</f>
        <v>120</v>
      </c>
      <c r="H143" t="str">
        <f t="shared" si="8"/>
        <v>Early 11</v>
      </c>
    </row>
    <row r="144" spans="1:8" x14ac:dyDescent="0.25">
      <c r="A144" s="11" t="s">
        <v>898</v>
      </c>
      <c r="B144" s="11" t="s">
        <v>160</v>
      </c>
      <c r="C144" s="11" t="s">
        <v>772</v>
      </c>
      <c r="D144" s="11">
        <v>22</v>
      </c>
      <c r="E144" s="11">
        <f t="shared" si="6"/>
        <v>142.5</v>
      </c>
      <c r="F144" s="12" t="b">
        <f t="shared" si="7"/>
        <v>1</v>
      </c>
      <c r="G144">
        <f>IF(F144,COUNTIFS(F$2:F144,TRUE),"")</f>
        <v>121</v>
      </c>
      <c r="H144" t="str">
        <f t="shared" si="8"/>
        <v>Early 11</v>
      </c>
    </row>
    <row r="145" spans="1:8" x14ac:dyDescent="0.25">
      <c r="A145" t="s">
        <v>740</v>
      </c>
      <c r="B145" t="s">
        <v>153</v>
      </c>
      <c r="C145" t="s">
        <v>644</v>
      </c>
      <c r="D145">
        <v>21.700000000000003</v>
      </c>
      <c r="E145">
        <f t="shared" si="6"/>
        <v>144</v>
      </c>
      <c r="F145" s="12" t="b">
        <f t="shared" si="7"/>
        <v>1</v>
      </c>
      <c r="G145">
        <f>IF(F145,COUNTIFS(F$2:F145,TRUE),"")</f>
        <v>122</v>
      </c>
      <c r="H145" t="str">
        <f t="shared" si="8"/>
        <v>Early 11</v>
      </c>
    </row>
    <row r="146" spans="1:8" x14ac:dyDescent="0.25">
      <c r="A146" s="11" t="s">
        <v>786</v>
      </c>
      <c r="B146" s="11" t="s">
        <v>116</v>
      </c>
      <c r="C146" s="11" t="s">
        <v>787</v>
      </c>
      <c r="D146" s="11">
        <v>21.620000000000061</v>
      </c>
      <c r="E146" s="11">
        <f t="shared" si="6"/>
        <v>145</v>
      </c>
      <c r="F146" s="12" t="b">
        <f t="shared" si="7"/>
        <v>1</v>
      </c>
      <c r="G146">
        <f>IF(F146,COUNTIFS(F$2:F146,TRUE),"")</f>
        <v>123</v>
      </c>
      <c r="H146" t="str">
        <f t="shared" si="8"/>
        <v>Early 11</v>
      </c>
    </row>
    <row r="147" spans="1:8" x14ac:dyDescent="0.25">
      <c r="A147" s="11" t="s">
        <v>441</v>
      </c>
      <c r="B147" s="11" t="s">
        <v>139</v>
      </c>
      <c r="C147" s="11" t="s">
        <v>397</v>
      </c>
      <c r="D147" s="11">
        <v>21.399999999999991</v>
      </c>
      <c r="E147" s="11">
        <f t="shared" si="6"/>
        <v>146</v>
      </c>
      <c r="F147" s="12" t="b">
        <f t="shared" si="7"/>
        <v>1</v>
      </c>
      <c r="G147">
        <f>IF(F147,COUNTIFS(F$2:F147,TRUE),"")</f>
        <v>124</v>
      </c>
      <c r="H147" t="str">
        <f t="shared" si="8"/>
        <v>Mid 11</v>
      </c>
    </row>
    <row r="148" spans="1:8" x14ac:dyDescent="0.25">
      <c r="A148" s="11" t="s">
        <v>509</v>
      </c>
      <c r="B148" s="11" t="s">
        <v>145</v>
      </c>
      <c r="C148" s="11" t="s">
        <v>400</v>
      </c>
      <c r="D148" s="11">
        <v>21.099999999999994</v>
      </c>
      <c r="E148" s="11">
        <f t="shared" si="6"/>
        <v>147</v>
      </c>
      <c r="F148" s="12" t="b">
        <f t="shared" si="7"/>
        <v>1</v>
      </c>
      <c r="G148">
        <f>IF(F148,COUNTIFS(F$2:F148,TRUE),"")</f>
        <v>125</v>
      </c>
      <c r="H148" t="str">
        <f t="shared" si="8"/>
        <v>Mid 11</v>
      </c>
    </row>
    <row r="149" spans="1:8" x14ac:dyDescent="0.25">
      <c r="A149" s="11" t="s">
        <v>271</v>
      </c>
      <c r="B149" s="11" t="s">
        <v>160</v>
      </c>
      <c r="C149" s="11" t="s">
        <v>176</v>
      </c>
      <c r="D149" s="11">
        <v>21</v>
      </c>
      <c r="E149" s="11">
        <f t="shared" si="6"/>
        <v>148</v>
      </c>
      <c r="F149" s="12" t="b">
        <f t="shared" si="7"/>
        <v>1</v>
      </c>
      <c r="G149">
        <f>IF(F149,COUNTIFS(F$2:F149,TRUE),"")</f>
        <v>126</v>
      </c>
      <c r="H149" t="str">
        <f t="shared" si="8"/>
        <v>Mid 11</v>
      </c>
    </row>
    <row r="150" spans="1:8" x14ac:dyDescent="0.25">
      <c r="A150" s="11" t="s">
        <v>392</v>
      </c>
      <c r="B150" s="11" t="s">
        <v>116</v>
      </c>
      <c r="C150" s="11" t="s">
        <v>393</v>
      </c>
      <c r="D150" s="11">
        <v>20.220000000000027</v>
      </c>
      <c r="E150" s="11">
        <f t="shared" si="6"/>
        <v>149</v>
      </c>
      <c r="F150" s="12" t="b">
        <f t="shared" si="7"/>
        <v>1</v>
      </c>
      <c r="G150">
        <f>IF(F150,COUNTIFS(F$2:F150,TRUE),"")</f>
        <v>127</v>
      </c>
      <c r="H150" t="str">
        <f t="shared" si="8"/>
        <v>Mid 11</v>
      </c>
    </row>
    <row r="151" spans="1:8" x14ac:dyDescent="0.25">
      <c r="A151" t="s">
        <v>602</v>
      </c>
      <c r="B151" t="s">
        <v>153</v>
      </c>
      <c r="C151" t="s">
        <v>426</v>
      </c>
      <c r="D151">
        <v>19.400000000000006</v>
      </c>
      <c r="E151">
        <f t="shared" si="6"/>
        <v>150</v>
      </c>
      <c r="F151" s="12" t="b">
        <f t="shared" si="7"/>
        <v>1</v>
      </c>
      <c r="G151">
        <f>IF(F151,COUNTIFS(F$2:F151,TRUE),"")</f>
        <v>128</v>
      </c>
      <c r="H151" t="str">
        <f t="shared" si="8"/>
        <v>Late 11</v>
      </c>
    </row>
    <row r="152" spans="1:8" x14ac:dyDescent="0.25">
      <c r="A152" t="s">
        <v>248</v>
      </c>
      <c r="B152" t="s">
        <v>153</v>
      </c>
      <c r="C152" t="s">
        <v>162</v>
      </c>
      <c r="D152">
        <v>19.099999999999994</v>
      </c>
      <c r="E152">
        <f t="shared" si="6"/>
        <v>151</v>
      </c>
      <c r="F152" s="12" t="b">
        <f t="shared" si="7"/>
        <v>1</v>
      </c>
      <c r="G152">
        <f>IF(F152,COUNTIFS(F$2:F152,TRUE),"")</f>
        <v>129</v>
      </c>
      <c r="H152" t="str">
        <f t="shared" si="8"/>
        <v>Late 11</v>
      </c>
    </row>
    <row r="153" spans="1:8" x14ac:dyDescent="0.25">
      <c r="A153" t="s">
        <v>420</v>
      </c>
      <c r="B153" t="s">
        <v>116</v>
      </c>
      <c r="C153" t="s">
        <v>421</v>
      </c>
      <c r="D153">
        <v>18.560000000000059</v>
      </c>
      <c r="E153">
        <f t="shared" si="6"/>
        <v>152</v>
      </c>
      <c r="F153" s="12" t="b">
        <f t="shared" si="7"/>
        <v>1</v>
      </c>
      <c r="G153">
        <f>IF(F153,COUNTIFS(F$2:F153,TRUE),"")</f>
        <v>130</v>
      </c>
      <c r="H153" t="str">
        <f t="shared" si="8"/>
        <v>Late 11</v>
      </c>
    </row>
    <row r="154" spans="1:8" x14ac:dyDescent="0.25">
      <c r="A154" t="s">
        <v>503</v>
      </c>
      <c r="B154" t="s">
        <v>145</v>
      </c>
      <c r="C154" t="s">
        <v>397</v>
      </c>
      <c r="D154">
        <v>18.099999999999994</v>
      </c>
      <c r="E154">
        <f t="shared" si="6"/>
        <v>153</v>
      </c>
      <c r="F154" s="12" t="b">
        <f t="shared" si="7"/>
        <v>1</v>
      </c>
      <c r="G154">
        <f>IF(F154,COUNTIFS(F$2:F154,TRUE),"")</f>
        <v>131</v>
      </c>
      <c r="H154" t="str">
        <f t="shared" si="8"/>
        <v>Late 11</v>
      </c>
    </row>
    <row r="155" spans="1:8" x14ac:dyDescent="0.25">
      <c r="A155" s="11" t="s">
        <v>622</v>
      </c>
      <c r="B155" s="11" t="s">
        <v>160</v>
      </c>
      <c r="C155" s="11" t="s">
        <v>400</v>
      </c>
      <c r="D155" s="11">
        <v>18</v>
      </c>
      <c r="E155" s="11">
        <f t="shared" si="6"/>
        <v>154</v>
      </c>
      <c r="F155" s="12" t="b">
        <f t="shared" si="7"/>
        <v>1</v>
      </c>
      <c r="G155">
        <f>IF(F155,COUNTIFS(F$2:F155,TRUE),"")</f>
        <v>132</v>
      </c>
      <c r="H155" t="str">
        <f t="shared" si="8"/>
        <v>Late 11</v>
      </c>
    </row>
    <row r="156" spans="1:8" x14ac:dyDescent="0.25">
      <c r="A156" t="s">
        <v>837</v>
      </c>
      <c r="B156" t="s">
        <v>145</v>
      </c>
      <c r="C156" t="s">
        <v>774</v>
      </c>
      <c r="D156">
        <v>17.799999999999997</v>
      </c>
      <c r="E156">
        <f t="shared" si="6"/>
        <v>155</v>
      </c>
      <c r="F156" s="12" t="b">
        <f t="shared" si="7"/>
        <v>1</v>
      </c>
      <c r="G156">
        <f>IF(F156,COUNTIFS(F$2:F156,TRUE),"")</f>
        <v>133</v>
      </c>
      <c r="H156" t="str">
        <f t="shared" si="8"/>
        <v>Early 12</v>
      </c>
    </row>
    <row r="157" spans="1:8" x14ac:dyDescent="0.25">
      <c r="A157" s="11" t="s">
        <v>795</v>
      </c>
      <c r="B157" s="11" t="s">
        <v>139</v>
      </c>
      <c r="C157" s="11" t="s">
        <v>772</v>
      </c>
      <c r="D157" s="11">
        <v>17.5</v>
      </c>
      <c r="E157" s="11">
        <f t="shared" si="6"/>
        <v>156</v>
      </c>
      <c r="F157" s="12" t="b">
        <f t="shared" si="7"/>
        <v>1</v>
      </c>
      <c r="G157">
        <f>IF(F157,COUNTIFS(F$2:F157,TRUE),"")</f>
        <v>134</v>
      </c>
      <c r="H157" t="str">
        <f t="shared" si="8"/>
        <v>Early 12</v>
      </c>
    </row>
    <row r="158" spans="1:8" x14ac:dyDescent="0.25">
      <c r="A158" s="11" t="s">
        <v>643</v>
      </c>
      <c r="B158" s="11" t="s">
        <v>116</v>
      </c>
      <c r="C158" s="11" t="s">
        <v>644</v>
      </c>
      <c r="D158" s="11">
        <v>16.920000000000073</v>
      </c>
      <c r="E158" s="11">
        <f t="shared" si="6"/>
        <v>157</v>
      </c>
      <c r="F158" s="12" t="b">
        <f t="shared" si="7"/>
        <v>0</v>
      </c>
      <c r="G158" t="str">
        <f>IF(F158,COUNTIFS(F$2:F158,TRUE),"")</f>
        <v/>
      </c>
      <c r="H158" t="str">
        <f t="shared" si="8"/>
        <v>Early 12</v>
      </c>
    </row>
    <row r="159" spans="1:8" x14ac:dyDescent="0.25">
      <c r="A159" t="s">
        <v>265</v>
      </c>
      <c r="B159" t="s">
        <v>158</v>
      </c>
      <c r="C159" t="s">
        <v>167</v>
      </c>
      <c r="D159">
        <v>16.599999999999994</v>
      </c>
      <c r="E159">
        <f t="shared" si="6"/>
        <v>158</v>
      </c>
      <c r="F159" s="12" t="b">
        <f t="shared" si="7"/>
        <v>1</v>
      </c>
      <c r="G159">
        <f>IF(F159,COUNTIFS(F$2:F159,TRUE),"")</f>
        <v>135</v>
      </c>
      <c r="H159" t="str">
        <f t="shared" si="8"/>
        <v>Early 12</v>
      </c>
    </row>
    <row r="160" spans="1:8" x14ac:dyDescent="0.25">
      <c r="A160" s="11" t="s">
        <v>811</v>
      </c>
      <c r="B160" s="11" t="s">
        <v>139</v>
      </c>
      <c r="C160" s="11" t="s">
        <v>783</v>
      </c>
      <c r="D160" s="11">
        <v>16.100000000000009</v>
      </c>
      <c r="E160" s="11">
        <f t="shared" si="6"/>
        <v>159</v>
      </c>
      <c r="F160" s="12" t="b">
        <f t="shared" si="7"/>
        <v>1</v>
      </c>
      <c r="G160">
        <f>IF(F160,COUNTIFS(F$2:F160,TRUE),"")</f>
        <v>136</v>
      </c>
      <c r="H160" t="str">
        <f t="shared" si="8"/>
        <v>Early 12</v>
      </c>
    </row>
    <row r="161" spans="1:8" x14ac:dyDescent="0.25">
      <c r="A161" t="s">
        <v>759</v>
      </c>
      <c r="B161" t="s">
        <v>158</v>
      </c>
      <c r="C161" t="s">
        <v>648</v>
      </c>
      <c r="D161">
        <v>15.899999999999991</v>
      </c>
      <c r="E161">
        <f t="shared" si="6"/>
        <v>160</v>
      </c>
      <c r="F161" s="12" t="b">
        <f t="shared" si="7"/>
        <v>1</v>
      </c>
      <c r="G161">
        <f>IF(F161,COUNTIFS(F$2:F161,TRUE),"")</f>
        <v>137</v>
      </c>
      <c r="H161" t="str">
        <f t="shared" si="8"/>
        <v>Mid 12</v>
      </c>
    </row>
    <row r="162" spans="1:8" x14ac:dyDescent="0.25">
      <c r="A162" t="s">
        <v>716</v>
      </c>
      <c r="B162" t="s">
        <v>145</v>
      </c>
      <c r="C162" t="s">
        <v>107</v>
      </c>
      <c r="D162">
        <v>15.799999999999997</v>
      </c>
      <c r="E162">
        <f t="shared" si="6"/>
        <v>161</v>
      </c>
      <c r="F162" s="12" t="b">
        <f t="shared" si="7"/>
        <v>1</v>
      </c>
      <c r="G162">
        <f>IF(F162,COUNTIFS(F$2:F162,TRUE),"")</f>
        <v>138</v>
      </c>
      <c r="H162" t="str">
        <f t="shared" si="8"/>
        <v>Mid 12</v>
      </c>
    </row>
    <row r="163" spans="1:8" x14ac:dyDescent="0.25">
      <c r="A163" t="s">
        <v>611</v>
      </c>
      <c r="B163" t="s">
        <v>158</v>
      </c>
      <c r="C163" t="s">
        <v>397</v>
      </c>
      <c r="D163">
        <v>15.599999999999994</v>
      </c>
      <c r="E163">
        <f t="shared" si="6"/>
        <v>162</v>
      </c>
      <c r="F163" s="12" t="b">
        <f t="shared" si="7"/>
        <v>1</v>
      </c>
      <c r="G163">
        <f>IF(F163,COUNTIFS(F$2:F163,TRUE),"")</f>
        <v>139</v>
      </c>
      <c r="H163" t="str">
        <f t="shared" si="8"/>
        <v>Mid 12</v>
      </c>
    </row>
    <row r="164" spans="1:8" x14ac:dyDescent="0.25">
      <c r="A164" t="s">
        <v>765</v>
      </c>
      <c r="B164" t="s">
        <v>160</v>
      </c>
      <c r="C164" t="s">
        <v>107</v>
      </c>
      <c r="D164">
        <v>15</v>
      </c>
      <c r="E164">
        <f t="shared" si="6"/>
        <v>163</v>
      </c>
      <c r="F164" s="12" t="b">
        <f t="shared" si="7"/>
        <v>1</v>
      </c>
      <c r="G164">
        <f>IF(F164,COUNTIFS(F$2:F164,TRUE),"")</f>
        <v>140</v>
      </c>
      <c r="H164" t="str">
        <f t="shared" si="8"/>
        <v>Mid 12</v>
      </c>
    </row>
    <row r="165" spans="1:8" x14ac:dyDescent="0.25">
      <c r="A165" s="11" t="s">
        <v>161</v>
      </c>
      <c r="B165" s="11" t="s">
        <v>116</v>
      </c>
      <c r="C165" s="11" t="s">
        <v>162</v>
      </c>
      <c r="D165" s="11">
        <v>14.540000000000077</v>
      </c>
      <c r="E165" s="11">
        <f t="shared" si="6"/>
        <v>164</v>
      </c>
      <c r="F165" s="12" t="b">
        <f t="shared" si="7"/>
        <v>1</v>
      </c>
      <c r="G165">
        <f>IF(F165,COUNTIFS(F$2:F165,TRUE),"")</f>
        <v>141</v>
      </c>
      <c r="H165" t="str">
        <f t="shared" si="8"/>
        <v>Late 12</v>
      </c>
    </row>
    <row r="166" spans="1:8" x14ac:dyDescent="0.25">
      <c r="A166" t="s">
        <v>267</v>
      </c>
      <c r="B166" t="s">
        <v>158</v>
      </c>
      <c r="C166" t="s">
        <v>176</v>
      </c>
      <c r="D166">
        <v>14.5</v>
      </c>
      <c r="E166">
        <f t="shared" si="6"/>
        <v>165</v>
      </c>
      <c r="F166" s="12" t="b">
        <f t="shared" si="7"/>
        <v>1</v>
      </c>
      <c r="G166">
        <f>IF(F166,COUNTIFS(F$2:F166,TRUE),"")</f>
        <v>142</v>
      </c>
      <c r="H166" t="str">
        <f t="shared" si="8"/>
        <v>Late 12</v>
      </c>
    </row>
    <row r="167" spans="1:8" x14ac:dyDescent="0.25">
      <c r="A167" s="11" t="s">
        <v>778</v>
      </c>
      <c r="B167" s="11" t="s">
        <v>116</v>
      </c>
      <c r="C167" s="11" t="s">
        <v>779</v>
      </c>
      <c r="D167" s="11">
        <v>14.099999999999966</v>
      </c>
      <c r="E167" s="11">
        <f t="shared" si="6"/>
        <v>166</v>
      </c>
      <c r="F167" s="12" t="b">
        <f t="shared" si="7"/>
        <v>1</v>
      </c>
      <c r="G167">
        <f>IF(F167,COUNTIFS(F$2:F167,TRUE),"")</f>
        <v>143</v>
      </c>
      <c r="H167" t="str">
        <f t="shared" si="8"/>
        <v>Late 12</v>
      </c>
    </row>
    <row r="168" spans="1:8" x14ac:dyDescent="0.25">
      <c r="A168" s="11" t="s">
        <v>388</v>
      </c>
      <c r="B168" s="11" t="s">
        <v>160</v>
      </c>
      <c r="C168" s="11" t="s">
        <v>279</v>
      </c>
      <c r="D168" s="11">
        <v>13</v>
      </c>
      <c r="E168" s="11">
        <f t="shared" si="6"/>
        <v>167</v>
      </c>
      <c r="F168" s="12" t="b">
        <f t="shared" si="7"/>
        <v>1</v>
      </c>
      <c r="G168">
        <f>IF(F168,COUNTIFS(F$2:F168,TRUE),"")</f>
        <v>144</v>
      </c>
      <c r="H168" t="str">
        <f t="shared" si="8"/>
        <v>Late 12</v>
      </c>
    </row>
    <row r="169" spans="1:8" x14ac:dyDescent="0.25">
      <c r="A169" s="11" t="s">
        <v>219</v>
      </c>
      <c r="B169" s="11" t="s">
        <v>145</v>
      </c>
      <c r="C169" s="11" t="s">
        <v>167</v>
      </c>
      <c r="D169" s="11">
        <v>12.200000000000003</v>
      </c>
      <c r="E169" s="11">
        <f t="shared" si="6"/>
        <v>168.5</v>
      </c>
      <c r="F169" s="12" t="b">
        <f t="shared" si="7"/>
        <v>1</v>
      </c>
      <c r="G169">
        <f>IF(F169,COUNTIFS(F$2:F169,TRUE),"")</f>
        <v>145</v>
      </c>
      <c r="H169" t="str">
        <f t="shared" si="8"/>
        <v>Late 13</v>
      </c>
    </row>
    <row r="170" spans="1:8" x14ac:dyDescent="0.25">
      <c r="A170" s="11" t="s">
        <v>560</v>
      </c>
      <c r="B170" s="11" t="s">
        <v>145</v>
      </c>
      <c r="C170" s="11" t="s">
        <v>430</v>
      </c>
      <c r="D170" s="11">
        <v>12.200000000000003</v>
      </c>
      <c r="E170" s="11">
        <f t="shared" si="6"/>
        <v>168.5</v>
      </c>
      <c r="F170" s="12" t="b">
        <f t="shared" si="7"/>
        <v>1</v>
      </c>
      <c r="G170">
        <f>IF(F170,COUNTIFS(F$2:F170,TRUE),"")</f>
        <v>146</v>
      </c>
      <c r="H170" t="str">
        <f t="shared" si="8"/>
        <v>Late 13</v>
      </c>
    </row>
    <row r="171" spans="1:8" x14ac:dyDescent="0.25">
      <c r="A171" s="11" t="s">
        <v>187</v>
      </c>
      <c r="B171" s="11" t="s">
        <v>139</v>
      </c>
      <c r="C171" s="11" t="s">
        <v>167</v>
      </c>
      <c r="D171" s="11">
        <v>12.100000000000009</v>
      </c>
      <c r="E171" s="11">
        <f t="shared" si="6"/>
        <v>170</v>
      </c>
      <c r="F171" s="12" t="b">
        <f t="shared" si="7"/>
        <v>1</v>
      </c>
      <c r="G171">
        <f>IF(F171,COUNTIFS(F$2:F171,TRUE),"")</f>
        <v>147</v>
      </c>
      <c r="H171" t="str">
        <f t="shared" si="8"/>
        <v>Early 13</v>
      </c>
    </row>
    <row r="172" spans="1:8" x14ac:dyDescent="0.25">
      <c r="A172" t="s">
        <v>766</v>
      </c>
      <c r="B172" t="s">
        <v>160</v>
      </c>
      <c r="C172" t="s">
        <v>648</v>
      </c>
      <c r="D172">
        <v>12</v>
      </c>
      <c r="E172">
        <f t="shared" si="6"/>
        <v>171</v>
      </c>
      <c r="F172" s="12" t="b">
        <f t="shared" si="7"/>
        <v>1</v>
      </c>
      <c r="G172">
        <f>IF(F172,COUNTIFS(F$2:F172,TRUE),"")</f>
        <v>148</v>
      </c>
      <c r="H172" t="str">
        <f t="shared" si="8"/>
        <v>Early 13</v>
      </c>
    </row>
    <row r="173" spans="1:8" x14ac:dyDescent="0.25">
      <c r="A173" s="11" t="s">
        <v>892</v>
      </c>
      <c r="B173" s="11" t="s">
        <v>158</v>
      </c>
      <c r="C173" s="11" t="s">
        <v>772</v>
      </c>
      <c r="D173" s="11">
        <v>11.799999999999997</v>
      </c>
      <c r="E173" s="11">
        <f t="shared" si="6"/>
        <v>172</v>
      </c>
      <c r="F173" s="12" t="b">
        <f t="shared" si="7"/>
        <v>1</v>
      </c>
      <c r="G173">
        <f>IF(F173,COUNTIFS(F$2:F173,TRUE),"")</f>
        <v>149</v>
      </c>
      <c r="H173" t="str">
        <f t="shared" si="8"/>
        <v>Early 13</v>
      </c>
    </row>
    <row r="174" spans="1:8" x14ac:dyDescent="0.25">
      <c r="A174" t="s">
        <v>494</v>
      </c>
      <c r="B174" t="s">
        <v>145</v>
      </c>
      <c r="C174" t="s">
        <v>393</v>
      </c>
      <c r="D174">
        <v>11.599999999999994</v>
      </c>
      <c r="E174">
        <f t="shared" si="6"/>
        <v>173</v>
      </c>
      <c r="F174" s="12" t="b">
        <f t="shared" si="7"/>
        <v>1</v>
      </c>
      <c r="G174">
        <f>IF(F174,COUNTIFS(F$2:F174,TRUE),"")</f>
        <v>150</v>
      </c>
      <c r="H174" t="str">
        <f t="shared" si="8"/>
        <v>Early 13</v>
      </c>
    </row>
    <row r="175" spans="1:8" x14ac:dyDescent="0.25">
      <c r="A175" s="11" t="s">
        <v>510</v>
      </c>
      <c r="B175" s="11" t="s">
        <v>145</v>
      </c>
      <c r="C175" s="11" t="s">
        <v>400</v>
      </c>
      <c r="D175" s="11">
        <v>11.5</v>
      </c>
      <c r="E175" s="11">
        <f t="shared" si="6"/>
        <v>174</v>
      </c>
      <c r="F175" s="12" t="b">
        <f t="shared" si="7"/>
        <v>1</v>
      </c>
      <c r="G175">
        <f>IF(F175,COUNTIFS(F$2:F175,TRUE),"")</f>
        <v>151</v>
      </c>
      <c r="H175" t="str">
        <f t="shared" si="8"/>
        <v>Mid 13</v>
      </c>
    </row>
    <row r="176" spans="1:8" x14ac:dyDescent="0.25">
      <c r="A176" t="s">
        <v>853</v>
      </c>
      <c r="B176" t="s">
        <v>145</v>
      </c>
      <c r="C176" t="s">
        <v>783</v>
      </c>
      <c r="D176">
        <v>9.8999999999999915</v>
      </c>
      <c r="E176">
        <f t="shared" si="6"/>
        <v>175</v>
      </c>
      <c r="F176" s="12" t="b">
        <f t="shared" si="7"/>
        <v>1</v>
      </c>
      <c r="G176">
        <f>IF(F176,COUNTIFS(F$2:F176,TRUE),"")</f>
        <v>152</v>
      </c>
      <c r="H176" t="str">
        <f t="shared" si="8"/>
        <v>Mid 13</v>
      </c>
    </row>
    <row r="177" spans="1:8" x14ac:dyDescent="0.25">
      <c r="A177" s="11" t="s">
        <v>385</v>
      </c>
      <c r="B177" s="11" t="s">
        <v>158</v>
      </c>
      <c r="C177" s="11" t="s">
        <v>288</v>
      </c>
      <c r="D177" s="11">
        <v>9.7999999999999972</v>
      </c>
      <c r="E177" s="11">
        <f t="shared" si="6"/>
        <v>176</v>
      </c>
      <c r="F177" s="12" t="b">
        <f t="shared" si="7"/>
        <v>1</v>
      </c>
      <c r="G177">
        <f>IF(F177,COUNTIFS(F$2:F177,TRUE),"")</f>
        <v>153</v>
      </c>
      <c r="H177" t="str">
        <f t="shared" si="8"/>
        <v>Mid 13</v>
      </c>
    </row>
    <row r="178" spans="1:8" x14ac:dyDescent="0.25">
      <c r="A178" t="s">
        <v>626</v>
      </c>
      <c r="B178" t="s">
        <v>160</v>
      </c>
      <c r="C178" t="s">
        <v>417</v>
      </c>
      <c r="D178">
        <v>9</v>
      </c>
      <c r="E178">
        <f t="shared" si="6"/>
        <v>177</v>
      </c>
      <c r="F178" s="12" t="b">
        <f t="shared" si="7"/>
        <v>1</v>
      </c>
      <c r="G178">
        <f>IF(F178,COUNTIFS(F$2:F178,TRUE),"")</f>
        <v>154</v>
      </c>
      <c r="H178" t="str">
        <f t="shared" si="8"/>
        <v>Mid 13</v>
      </c>
    </row>
    <row r="179" spans="1:8" x14ac:dyDescent="0.25">
      <c r="A179" t="s">
        <v>157</v>
      </c>
      <c r="B179" t="s">
        <v>158</v>
      </c>
      <c r="C179" t="s">
        <v>135</v>
      </c>
      <c r="D179">
        <v>8.7999999999999972</v>
      </c>
      <c r="E179">
        <f t="shared" si="6"/>
        <v>178</v>
      </c>
      <c r="F179" s="12" t="b">
        <f t="shared" si="7"/>
        <v>1</v>
      </c>
      <c r="G179">
        <f>IF(F179,COUNTIFS(F$2:F179,TRUE),"")</f>
        <v>155</v>
      </c>
      <c r="H179" t="str">
        <f t="shared" si="8"/>
        <v>Late 13</v>
      </c>
    </row>
    <row r="180" spans="1:8" x14ac:dyDescent="0.25">
      <c r="A180" t="s">
        <v>818</v>
      </c>
      <c r="B180" t="s">
        <v>139</v>
      </c>
      <c r="C180" t="s">
        <v>787</v>
      </c>
      <c r="D180">
        <v>8.7000000000000028</v>
      </c>
      <c r="E180">
        <f t="shared" si="6"/>
        <v>179</v>
      </c>
      <c r="F180" s="12" t="b">
        <f t="shared" si="7"/>
        <v>1</v>
      </c>
      <c r="G180">
        <f>IF(F180,COUNTIFS(F$2:F180,TRUE),"")</f>
        <v>156</v>
      </c>
      <c r="H180" t="str">
        <f t="shared" si="8"/>
        <v>Late 13</v>
      </c>
    </row>
    <row r="181" spans="1:8" x14ac:dyDescent="0.25">
      <c r="A181" t="s">
        <v>240</v>
      </c>
      <c r="B181" t="s">
        <v>145</v>
      </c>
      <c r="C181" t="s">
        <v>176</v>
      </c>
      <c r="D181">
        <v>8.2000000000000028</v>
      </c>
      <c r="E181">
        <f t="shared" si="6"/>
        <v>180.5</v>
      </c>
      <c r="F181" s="12" t="b">
        <f t="shared" si="7"/>
        <v>1</v>
      </c>
      <c r="G181">
        <f>IF(F181,COUNTIFS(F$2:F181,TRUE),"")</f>
        <v>157</v>
      </c>
      <c r="H181" t="str">
        <f t="shared" si="8"/>
        <v>Late 13</v>
      </c>
    </row>
    <row r="182" spans="1:8" x14ac:dyDescent="0.25">
      <c r="A182" t="s">
        <v>573</v>
      </c>
      <c r="B182" t="s">
        <v>153</v>
      </c>
      <c r="C182" t="s">
        <v>397</v>
      </c>
      <c r="D182">
        <v>8.2000000000000028</v>
      </c>
      <c r="E182">
        <f t="shared" si="6"/>
        <v>180.5</v>
      </c>
      <c r="F182" s="12" t="b">
        <f t="shared" si="7"/>
        <v>1</v>
      </c>
      <c r="G182">
        <f>IF(F182,COUNTIFS(F$2:F182,TRUE),"")</f>
        <v>158</v>
      </c>
      <c r="H182" t="str">
        <f t="shared" si="8"/>
        <v>Late 13</v>
      </c>
    </row>
    <row r="183" spans="1:8" x14ac:dyDescent="0.25">
      <c r="A183" t="s">
        <v>296</v>
      </c>
      <c r="B183" t="s">
        <v>139</v>
      </c>
      <c r="C183" t="s">
        <v>273</v>
      </c>
      <c r="D183">
        <v>8.1000000000000085</v>
      </c>
      <c r="E183">
        <f t="shared" si="6"/>
        <v>182</v>
      </c>
      <c r="F183" s="12" t="b">
        <f t="shared" si="7"/>
        <v>1</v>
      </c>
      <c r="G183">
        <f>IF(F183,COUNTIFS(F$2:F183,TRUE),"")</f>
        <v>159</v>
      </c>
      <c r="H183" t="str">
        <f t="shared" si="8"/>
        <v>Late 13</v>
      </c>
    </row>
    <row r="184" spans="1:8" x14ac:dyDescent="0.25">
      <c r="A184" s="11" t="s">
        <v>621</v>
      </c>
      <c r="B184" s="11" t="s">
        <v>160</v>
      </c>
      <c r="C184" s="11" t="s">
        <v>397</v>
      </c>
      <c r="D184" s="11">
        <v>8</v>
      </c>
      <c r="E184" s="11">
        <f t="shared" si="6"/>
        <v>183</v>
      </c>
      <c r="F184" s="12" t="b">
        <f t="shared" si="7"/>
        <v>1</v>
      </c>
      <c r="G184">
        <f>IF(F184,COUNTIFS(F$2:F184,TRUE),"")</f>
        <v>160</v>
      </c>
      <c r="H184" t="str">
        <f t="shared" si="8"/>
        <v>Early 14</v>
      </c>
    </row>
    <row r="185" spans="1:8" x14ac:dyDescent="0.25">
      <c r="A185" s="11" t="s">
        <v>861</v>
      </c>
      <c r="B185" s="11" t="s">
        <v>145</v>
      </c>
      <c r="C185" s="11" t="s">
        <v>787</v>
      </c>
      <c r="D185" s="11">
        <v>7.9000000000000057</v>
      </c>
      <c r="E185" s="11">
        <f t="shared" si="6"/>
        <v>184</v>
      </c>
      <c r="F185" s="12" t="b">
        <f t="shared" si="7"/>
        <v>1</v>
      </c>
      <c r="G185">
        <f>IF(F185,COUNTIFS(F$2:F185,TRUE),"")</f>
        <v>161</v>
      </c>
      <c r="H185" t="str">
        <f t="shared" si="8"/>
        <v>Early 14</v>
      </c>
    </row>
    <row r="186" spans="1:8" x14ac:dyDescent="0.25">
      <c r="A186" t="s">
        <v>166</v>
      </c>
      <c r="B186" t="s">
        <v>116</v>
      </c>
      <c r="C186" t="s">
        <v>167</v>
      </c>
      <c r="D186">
        <v>7.5400000000000205</v>
      </c>
      <c r="E186">
        <f t="shared" si="6"/>
        <v>185</v>
      </c>
      <c r="F186" s="12" t="b">
        <f t="shared" si="7"/>
        <v>1</v>
      </c>
      <c r="G186">
        <f>IF(F186,COUNTIFS(F$2:F186,TRUE),"")</f>
        <v>162</v>
      </c>
      <c r="H186" t="str">
        <f t="shared" si="8"/>
        <v>Early 14</v>
      </c>
    </row>
    <row r="187" spans="1:8" x14ac:dyDescent="0.25">
      <c r="A187" t="s">
        <v>350</v>
      </c>
      <c r="B187" t="s">
        <v>145</v>
      </c>
      <c r="C187" t="s">
        <v>288</v>
      </c>
      <c r="D187">
        <v>7.0999999999999943</v>
      </c>
      <c r="E187">
        <f t="shared" si="6"/>
        <v>186</v>
      </c>
      <c r="F187" s="12" t="b">
        <f t="shared" si="7"/>
        <v>1</v>
      </c>
      <c r="G187">
        <f>IF(F187,COUNTIFS(F$2:F187,TRUE),"")</f>
        <v>163</v>
      </c>
      <c r="H187" t="str">
        <f t="shared" si="8"/>
        <v>Early 14</v>
      </c>
    </row>
    <row r="188" spans="1:8" x14ac:dyDescent="0.25">
      <c r="A188" t="s">
        <v>574</v>
      </c>
      <c r="B188" t="s">
        <v>153</v>
      </c>
      <c r="C188" t="s">
        <v>397</v>
      </c>
      <c r="D188">
        <v>7</v>
      </c>
      <c r="E188">
        <f t="shared" si="6"/>
        <v>188</v>
      </c>
      <c r="F188" s="12" t="b">
        <f t="shared" si="7"/>
        <v>1</v>
      </c>
      <c r="G188">
        <f>IF(F188,COUNTIFS(F$2:F188,TRUE),"")</f>
        <v>164</v>
      </c>
      <c r="H188" t="str">
        <f t="shared" si="8"/>
        <v>Mid 14</v>
      </c>
    </row>
    <row r="189" spans="1:8" x14ac:dyDescent="0.25">
      <c r="A189" s="11" t="s">
        <v>625</v>
      </c>
      <c r="B189" s="11" t="s">
        <v>160</v>
      </c>
      <c r="C189" s="11" t="s">
        <v>411</v>
      </c>
      <c r="D189" s="11">
        <v>7</v>
      </c>
      <c r="E189" s="11">
        <f t="shared" si="6"/>
        <v>188</v>
      </c>
      <c r="F189" s="12" t="b">
        <f t="shared" si="7"/>
        <v>1</v>
      </c>
      <c r="G189">
        <f>IF(F189,COUNTIFS(F$2:F189,TRUE),"")</f>
        <v>165</v>
      </c>
      <c r="H189" t="str">
        <f t="shared" si="8"/>
        <v>Mid 14</v>
      </c>
    </row>
    <row r="190" spans="1:8" x14ac:dyDescent="0.25">
      <c r="A190" t="s">
        <v>629</v>
      </c>
      <c r="B190" t="s">
        <v>160</v>
      </c>
      <c r="C190" t="s">
        <v>430</v>
      </c>
      <c r="D190">
        <v>7</v>
      </c>
      <c r="E190">
        <f t="shared" si="6"/>
        <v>188</v>
      </c>
      <c r="F190" s="12" t="b">
        <f t="shared" si="7"/>
        <v>1</v>
      </c>
      <c r="G190">
        <f>IF(F190,COUNTIFS(F$2:F190,TRUE),"")</f>
        <v>166</v>
      </c>
      <c r="H190" t="str">
        <f t="shared" si="8"/>
        <v>Mid 14</v>
      </c>
    </row>
    <row r="191" spans="1:8" x14ac:dyDescent="0.25">
      <c r="A191" t="s">
        <v>618</v>
      </c>
      <c r="B191" t="s">
        <v>158</v>
      </c>
      <c r="C191" t="s">
        <v>426</v>
      </c>
      <c r="D191">
        <v>6.8999999999999915</v>
      </c>
      <c r="E191">
        <f t="shared" si="6"/>
        <v>190</v>
      </c>
      <c r="F191" s="12" t="b">
        <f t="shared" si="7"/>
        <v>1</v>
      </c>
      <c r="G191">
        <f>IF(F191,COUNTIFS(F$2:F191,TRUE),"")</f>
        <v>167</v>
      </c>
      <c r="H191" t="str">
        <f t="shared" si="8"/>
        <v>Mid 14</v>
      </c>
    </row>
    <row r="192" spans="1:8" x14ac:dyDescent="0.25">
      <c r="A192" s="11" t="s">
        <v>180</v>
      </c>
      <c r="B192" s="11" t="s">
        <v>139</v>
      </c>
      <c r="C192" s="11" t="s">
        <v>162</v>
      </c>
      <c r="D192" s="11">
        <v>6</v>
      </c>
      <c r="E192" s="11">
        <f t="shared" si="6"/>
        <v>191</v>
      </c>
      <c r="F192" s="12" t="b">
        <f t="shared" si="7"/>
        <v>1</v>
      </c>
      <c r="G192">
        <f>IF(F192,COUNTIFS(F$2:F192,TRUE),"")</f>
        <v>168</v>
      </c>
      <c r="H192" t="str">
        <f t="shared" si="8"/>
        <v>Mid 14</v>
      </c>
    </row>
    <row r="193" spans="1:8" x14ac:dyDescent="0.25">
      <c r="A193" t="s">
        <v>638</v>
      </c>
      <c r="B193" t="s">
        <v>116</v>
      </c>
      <c r="C193" t="s">
        <v>639</v>
      </c>
      <c r="D193">
        <v>5.9800000000000182</v>
      </c>
      <c r="E193">
        <f t="shared" si="6"/>
        <v>192</v>
      </c>
      <c r="F193" s="12" t="b">
        <f t="shared" si="7"/>
        <v>1</v>
      </c>
      <c r="G193">
        <f>IF(F193,COUNTIFS(F$2:F193,TRUE),"")</f>
        <v>169</v>
      </c>
      <c r="H193" t="str">
        <f t="shared" si="8"/>
        <v>Late 14</v>
      </c>
    </row>
    <row r="194" spans="1:8" x14ac:dyDescent="0.25">
      <c r="A194" s="11" t="s">
        <v>481</v>
      </c>
      <c r="B194" s="11" t="s">
        <v>139</v>
      </c>
      <c r="C194" s="11" t="s">
        <v>426</v>
      </c>
      <c r="D194" s="11">
        <v>5.5</v>
      </c>
      <c r="E194" s="11">
        <f t="shared" ref="E194:E257" si="9">_xlfn.RANK.AVG(D194,$D$2:$D$738,0)</f>
        <v>193.5</v>
      </c>
      <c r="F194" s="12" t="b">
        <f t="shared" si="7"/>
        <v>1</v>
      </c>
      <c r="G194">
        <f>IF(F194,COUNTIFS(F$2:F194,TRUE),"")</f>
        <v>170</v>
      </c>
      <c r="H194" t="str">
        <f t="shared" si="8"/>
        <v>Late 14</v>
      </c>
    </row>
    <row r="195" spans="1:8" x14ac:dyDescent="0.25">
      <c r="A195" t="s">
        <v>386</v>
      </c>
      <c r="B195" t="s">
        <v>158</v>
      </c>
      <c r="C195" t="s">
        <v>292</v>
      </c>
      <c r="D195">
        <v>5.5</v>
      </c>
      <c r="E195">
        <f t="shared" si="9"/>
        <v>193.5</v>
      </c>
      <c r="F195" s="12" t="b">
        <f t="shared" ref="F195:F258" si="10">color_fill(E195)</f>
        <v>1</v>
      </c>
      <c r="G195">
        <f>IF(F195,COUNTIFS(F$2:F195,TRUE),"")</f>
        <v>171</v>
      </c>
      <c r="H195" t="str">
        <f t="shared" ref="H195:H258" si="11">VLOOKUP(MOD(E195,14),$Q$2:$R$5,2,TRUE)&amp;" "&amp;_xlfn.CEILING.MATH((E195)/14)</f>
        <v>Late 14</v>
      </c>
    </row>
    <row r="196" spans="1:8" x14ac:dyDescent="0.25">
      <c r="A196" t="s">
        <v>278</v>
      </c>
      <c r="B196" t="s">
        <v>116</v>
      </c>
      <c r="C196" t="s">
        <v>279</v>
      </c>
      <c r="D196">
        <v>5.4000000000000341</v>
      </c>
      <c r="E196">
        <f t="shared" si="9"/>
        <v>195</v>
      </c>
      <c r="F196" s="12" t="b">
        <f t="shared" si="10"/>
        <v>1</v>
      </c>
      <c r="G196">
        <f>IF(F196,COUNTIFS(F$2:F196,TRUE),"")</f>
        <v>172</v>
      </c>
      <c r="H196" t="str">
        <f t="shared" si="11"/>
        <v>Late 14</v>
      </c>
    </row>
    <row r="197" spans="1:8" x14ac:dyDescent="0.25">
      <c r="A197" t="s">
        <v>753</v>
      </c>
      <c r="B197" t="s">
        <v>158</v>
      </c>
      <c r="C197" t="s">
        <v>635</v>
      </c>
      <c r="D197">
        <v>5.3999999999999915</v>
      </c>
      <c r="E197">
        <f t="shared" si="9"/>
        <v>196</v>
      </c>
      <c r="F197" s="12" t="b">
        <f t="shared" si="10"/>
        <v>1</v>
      </c>
      <c r="G197">
        <f>IF(F197,COUNTIFS(F$2:F197,TRUE),"")</f>
        <v>173</v>
      </c>
      <c r="H197" t="str">
        <f t="shared" si="11"/>
        <v>Late 14</v>
      </c>
    </row>
    <row r="198" spans="1:8" x14ac:dyDescent="0.25">
      <c r="A198" t="s">
        <v>862</v>
      </c>
      <c r="B198" t="s">
        <v>145</v>
      </c>
      <c r="C198" t="s">
        <v>787</v>
      </c>
      <c r="D198">
        <v>5.2999999999999972</v>
      </c>
      <c r="E198">
        <f t="shared" si="9"/>
        <v>197</v>
      </c>
      <c r="F198" s="12" t="b">
        <f t="shared" si="10"/>
        <v>1</v>
      </c>
      <c r="G198">
        <f>IF(F198,COUNTIFS(F$2:F198,TRUE),"")</f>
        <v>174</v>
      </c>
      <c r="H198" t="str">
        <f t="shared" si="11"/>
        <v>Early 15</v>
      </c>
    </row>
    <row r="199" spans="1:8" x14ac:dyDescent="0.25">
      <c r="A199" t="s">
        <v>874</v>
      </c>
      <c r="B199" t="s">
        <v>153</v>
      </c>
      <c r="C199" t="s">
        <v>774</v>
      </c>
      <c r="D199">
        <v>5.2000000000000028</v>
      </c>
      <c r="E199">
        <f t="shared" si="9"/>
        <v>198</v>
      </c>
      <c r="F199" s="12" t="b">
        <f t="shared" si="10"/>
        <v>1</v>
      </c>
      <c r="G199">
        <f>IF(F199,COUNTIFS(F$2:F199,TRUE),"")</f>
        <v>175</v>
      </c>
      <c r="H199" t="str">
        <f t="shared" si="11"/>
        <v>Early 15</v>
      </c>
    </row>
    <row r="200" spans="1:8" x14ac:dyDescent="0.25">
      <c r="A200" t="s">
        <v>877</v>
      </c>
      <c r="B200" t="s">
        <v>153</v>
      </c>
      <c r="C200" t="s">
        <v>779</v>
      </c>
      <c r="D200">
        <v>4.4000000000000057</v>
      </c>
      <c r="E200">
        <f t="shared" si="9"/>
        <v>199</v>
      </c>
      <c r="F200" s="12" t="b">
        <f t="shared" si="10"/>
        <v>1</v>
      </c>
      <c r="G200">
        <f>IF(F200,COUNTIFS(F$2:F200,TRUE),"")</f>
        <v>176</v>
      </c>
      <c r="H200" t="str">
        <f t="shared" si="11"/>
        <v>Early 15</v>
      </c>
    </row>
    <row r="201" spans="1:8" x14ac:dyDescent="0.25">
      <c r="A201" s="11" t="s">
        <v>613</v>
      </c>
      <c r="B201" s="11" t="s">
        <v>158</v>
      </c>
      <c r="C201" s="11" t="s">
        <v>404</v>
      </c>
      <c r="D201" s="11">
        <v>3.5999999999999943</v>
      </c>
      <c r="E201" s="11">
        <f t="shared" si="9"/>
        <v>200</v>
      </c>
      <c r="F201" s="12" t="b">
        <f t="shared" si="10"/>
        <v>1</v>
      </c>
      <c r="G201">
        <f>IF(F201,COUNTIFS(F$2:F201,TRUE),"")</f>
        <v>177</v>
      </c>
      <c r="H201" t="str">
        <f t="shared" si="11"/>
        <v>Early 15</v>
      </c>
    </row>
    <row r="202" spans="1:8" x14ac:dyDescent="0.25">
      <c r="A202" t="s">
        <v>854</v>
      </c>
      <c r="B202" t="s">
        <v>145</v>
      </c>
      <c r="C202" t="s">
        <v>783</v>
      </c>
      <c r="D202">
        <v>3.2000000000000028</v>
      </c>
      <c r="E202">
        <f t="shared" si="9"/>
        <v>201</v>
      </c>
      <c r="F202" s="12" t="b">
        <f t="shared" si="10"/>
        <v>1</v>
      </c>
      <c r="G202">
        <f>IF(F202,COUNTIFS(F$2:F202,TRUE),"")</f>
        <v>178</v>
      </c>
      <c r="H202" t="str">
        <f t="shared" si="11"/>
        <v>Early 15</v>
      </c>
    </row>
    <row r="203" spans="1:8" x14ac:dyDescent="0.25">
      <c r="A203" t="s">
        <v>732</v>
      </c>
      <c r="B203" t="s">
        <v>153</v>
      </c>
      <c r="C203" t="s">
        <v>635</v>
      </c>
      <c r="D203">
        <v>3.0999999999999943</v>
      </c>
      <c r="E203">
        <f t="shared" si="9"/>
        <v>202</v>
      </c>
      <c r="F203" s="12" t="b">
        <f t="shared" si="10"/>
        <v>1</v>
      </c>
      <c r="G203">
        <f>IF(F203,COUNTIFS(F$2:F203,TRUE),"")</f>
        <v>179</v>
      </c>
      <c r="H203" t="str">
        <f t="shared" si="11"/>
        <v>Mid 15</v>
      </c>
    </row>
    <row r="204" spans="1:8" x14ac:dyDescent="0.25">
      <c r="A204" t="s">
        <v>615</v>
      </c>
      <c r="B204" t="s">
        <v>158</v>
      </c>
      <c r="C204" t="s">
        <v>411</v>
      </c>
      <c r="D204">
        <v>2.7999999999999972</v>
      </c>
      <c r="E204">
        <f t="shared" si="9"/>
        <v>203</v>
      </c>
      <c r="F204" s="12" t="b">
        <f t="shared" si="10"/>
        <v>1</v>
      </c>
      <c r="G204">
        <f>IF(F204,COUNTIFS(F$2:F204,TRUE),"")</f>
        <v>180</v>
      </c>
      <c r="H204" t="str">
        <f t="shared" si="11"/>
        <v>Mid 15</v>
      </c>
    </row>
    <row r="205" spans="1:8" x14ac:dyDescent="0.25">
      <c r="A205" t="s">
        <v>698</v>
      </c>
      <c r="B205" t="s">
        <v>145</v>
      </c>
      <c r="C205" t="s">
        <v>635</v>
      </c>
      <c r="D205">
        <v>2.5</v>
      </c>
      <c r="E205">
        <f t="shared" si="9"/>
        <v>204</v>
      </c>
      <c r="F205" s="12" t="b">
        <f t="shared" si="10"/>
        <v>1</v>
      </c>
      <c r="G205">
        <f>IF(F205,COUNTIFS(F$2:F205,TRUE),"")</f>
        <v>181</v>
      </c>
      <c r="H205" t="str">
        <f t="shared" si="11"/>
        <v>Mid 15</v>
      </c>
    </row>
    <row r="206" spans="1:8" x14ac:dyDescent="0.25">
      <c r="A206" t="s">
        <v>325</v>
      </c>
      <c r="B206" t="s">
        <v>145</v>
      </c>
      <c r="C206" t="s">
        <v>273</v>
      </c>
      <c r="D206">
        <v>1.2999999999999972</v>
      </c>
      <c r="E206">
        <f t="shared" si="9"/>
        <v>205</v>
      </c>
      <c r="F206" s="12" t="b">
        <f t="shared" si="10"/>
        <v>1</v>
      </c>
      <c r="G206">
        <f>IF(F206,COUNTIFS(F$2:F206,TRUE),"")</f>
        <v>182</v>
      </c>
      <c r="H206" t="str">
        <f t="shared" si="11"/>
        <v>Mid 15</v>
      </c>
    </row>
    <row r="207" spans="1:8" x14ac:dyDescent="0.25">
      <c r="A207" t="s">
        <v>334</v>
      </c>
      <c r="B207" t="s">
        <v>145</v>
      </c>
      <c r="C207" t="s">
        <v>279</v>
      </c>
      <c r="D207">
        <v>0.79999999999999716</v>
      </c>
      <c r="E207">
        <f t="shared" si="9"/>
        <v>206</v>
      </c>
      <c r="F207" s="12" t="b">
        <f t="shared" si="10"/>
        <v>1</v>
      </c>
      <c r="G207">
        <f>IF(F207,COUNTIFS(F$2:F207,TRUE),"")</f>
        <v>183</v>
      </c>
      <c r="H207" t="str">
        <f t="shared" si="11"/>
        <v>Late 15</v>
      </c>
    </row>
    <row r="208" spans="1:8" x14ac:dyDescent="0.25">
      <c r="A208" t="s">
        <v>410</v>
      </c>
      <c r="B208" t="s">
        <v>116</v>
      </c>
      <c r="C208" t="s">
        <v>411</v>
      </c>
      <c r="D208">
        <v>0</v>
      </c>
      <c r="E208">
        <f t="shared" si="9"/>
        <v>208</v>
      </c>
      <c r="F208" s="12" t="b">
        <f t="shared" si="10"/>
        <v>1</v>
      </c>
      <c r="G208">
        <f>IF(F208,COUNTIFS(F$2:F208,TRUE),"")</f>
        <v>184</v>
      </c>
      <c r="H208" t="str">
        <f t="shared" si="11"/>
        <v>Late 15</v>
      </c>
    </row>
    <row r="209" spans="1:8" x14ac:dyDescent="0.25">
      <c r="A209" t="s">
        <v>381</v>
      </c>
      <c r="B209" t="s">
        <v>158</v>
      </c>
      <c r="C209" t="s">
        <v>279</v>
      </c>
      <c r="D209">
        <v>0</v>
      </c>
      <c r="E209">
        <f t="shared" si="9"/>
        <v>208</v>
      </c>
      <c r="F209" s="12" t="b">
        <f t="shared" si="10"/>
        <v>1</v>
      </c>
      <c r="G209">
        <f>IF(F209,COUNTIFS(F$2:F209,TRUE),"")</f>
        <v>185</v>
      </c>
      <c r="H209" t="str">
        <f t="shared" si="11"/>
        <v>Late 15</v>
      </c>
    </row>
    <row r="210" spans="1:8" x14ac:dyDescent="0.25">
      <c r="A210" t="s">
        <v>624</v>
      </c>
      <c r="B210" t="s">
        <v>160</v>
      </c>
      <c r="C210" t="s">
        <v>408</v>
      </c>
      <c r="D210">
        <v>0</v>
      </c>
      <c r="E210">
        <f t="shared" si="9"/>
        <v>208</v>
      </c>
      <c r="F210" s="12" t="b">
        <f t="shared" si="10"/>
        <v>1</v>
      </c>
      <c r="G210">
        <f>IF(F210,COUNTIFS(F$2:F210,TRUE),"")</f>
        <v>186</v>
      </c>
      <c r="H210" t="str">
        <f t="shared" si="11"/>
        <v>Late 15</v>
      </c>
    </row>
    <row r="211" spans="1:8" x14ac:dyDescent="0.25">
      <c r="A211" t="s">
        <v>870</v>
      </c>
      <c r="B211" t="s">
        <v>153</v>
      </c>
      <c r="C211" t="s">
        <v>772</v>
      </c>
      <c r="D211">
        <v>-0.20000000000000284</v>
      </c>
      <c r="E211">
        <f t="shared" si="9"/>
        <v>210</v>
      </c>
      <c r="F211" s="12" t="b">
        <f t="shared" si="10"/>
        <v>1</v>
      </c>
      <c r="G211">
        <f>IF(F211,COUNTIFS(F$2:F211,TRUE),"")</f>
        <v>187</v>
      </c>
      <c r="H211" t="str">
        <f t="shared" si="11"/>
        <v>Late 15</v>
      </c>
    </row>
    <row r="212" spans="1:8" x14ac:dyDescent="0.25">
      <c r="A212" s="11" t="s">
        <v>171</v>
      </c>
      <c r="B212" s="11" t="s">
        <v>116</v>
      </c>
      <c r="C212" s="11" t="s">
        <v>172</v>
      </c>
      <c r="D212" s="11">
        <v>-0.6199999999999477</v>
      </c>
      <c r="E212" s="11">
        <f t="shared" si="9"/>
        <v>211</v>
      </c>
      <c r="F212" s="12" t="b">
        <f t="shared" si="10"/>
        <v>1</v>
      </c>
      <c r="G212">
        <f>IF(F212,COUNTIFS(F$2:F212,TRUE),"")</f>
        <v>188</v>
      </c>
      <c r="H212" t="str">
        <f t="shared" si="11"/>
        <v>Early 16</v>
      </c>
    </row>
    <row r="213" spans="1:8" x14ac:dyDescent="0.25">
      <c r="A213" t="s">
        <v>581</v>
      </c>
      <c r="B213" t="s">
        <v>153</v>
      </c>
      <c r="C213" t="s">
        <v>404</v>
      </c>
      <c r="D213">
        <v>-0.79999999999999716</v>
      </c>
      <c r="E213">
        <f t="shared" si="9"/>
        <v>212</v>
      </c>
      <c r="F213" s="12" t="b">
        <f t="shared" si="10"/>
        <v>1</v>
      </c>
      <c r="G213">
        <f>IF(F213,COUNTIFS(F$2:F213,TRUE),"")</f>
        <v>189</v>
      </c>
      <c r="H213" t="str">
        <f t="shared" si="11"/>
        <v>Early 16</v>
      </c>
    </row>
    <row r="214" spans="1:8" x14ac:dyDescent="0.25">
      <c r="A214" s="11" t="s">
        <v>763</v>
      </c>
      <c r="B214" s="11" t="s">
        <v>160</v>
      </c>
      <c r="C214" s="11" t="s">
        <v>639</v>
      </c>
      <c r="D214" s="11">
        <v>-1</v>
      </c>
      <c r="E214" s="11">
        <f t="shared" si="9"/>
        <v>213.5</v>
      </c>
      <c r="F214" s="12" t="b">
        <f t="shared" si="10"/>
        <v>1</v>
      </c>
      <c r="G214">
        <f>IF(F214,COUNTIFS(F$2:F214,TRUE),"")</f>
        <v>190</v>
      </c>
      <c r="H214" t="str">
        <f t="shared" si="11"/>
        <v>Early 16</v>
      </c>
    </row>
    <row r="215" spans="1:8" x14ac:dyDescent="0.25">
      <c r="A215" t="s">
        <v>902</v>
      </c>
      <c r="B215" t="s">
        <v>160</v>
      </c>
      <c r="C215" t="s">
        <v>787</v>
      </c>
      <c r="D215">
        <v>-1</v>
      </c>
      <c r="E215">
        <f t="shared" si="9"/>
        <v>213.5</v>
      </c>
      <c r="F215" s="12" t="b">
        <f t="shared" si="10"/>
        <v>1</v>
      </c>
      <c r="G215">
        <f>IF(F215,COUNTIFS(F$2:F215,TRUE),"")</f>
        <v>191</v>
      </c>
      <c r="H215" t="str">
        <f t="shared" si="11"/>
        <v>Early 16</v>
      </c>
    </row>
    <row r="216" spans="1:8" x14ac:dyDescent="0.25">
      <c r="A216" s="11" t="s">
        <v>675</v>
      </c>
      <c r="B216" s="11" t="s">
        <v>139</v>
      </c>
      <c r="C216" s="11" t="s">
        <v>644</v>
      </c>
      <c r="D216" s="11">
        <v>-1.1999999999999886</v>
      </c>
      <c r="E216" s="11">
        <f t="shared" si="9"/>
        <v>215</v>
      </c>
      <c r="F216" s="12" t="b">
        <f t="shared" si="10"/>
        <v>1</v>
      </c>
      <c r="G216">
        <f>IF(F216,COUNTIFS(F$2:F216,TRUE),"")</f>
        <v>192</v>
      </c>
      <c r="H216" t="str">
        <f t="shared" si="11"/>
        <v>Early 16</v>
      </c>
    </row>
    <row r="217" spans="1:8" x14ac:dyDescent="0.25">
      <c r="A217" s="11" t="s">
        <v>782</v>
      </c>
      <c r="B217" s="11" t="s">
        <v>116</v>
      </c>
      <c r="C217" s="11" t="s">
        <v>783</v>
      </c>
      <c r="D217" s="11">
        <v>-1.7599999999999909</v>
      </c>
      <c r="E217" s="11">
        <f t="shared" si="9"/>
        <v>216</v>
      </c>
      <c r="F217" s="12" t="b">
        <f t="shared" si="10"/>
        <v>1</v>
      </c>
      <c r="G217">
        <f>IF(F217,COUNTIFS(F$2:F217,TRUE),"")</f>
        <v>193</v>
      </c>
      <c r="H217" t="str">
        <f t="shared" si="11"/>
        <v>Mid 16</v>
      </c>
    </row>
    <row r="218" spans="1:8" x14ac:dyDescent="0.25">
      <c r="A218" t="s">
        <v>755</v>
      </c>
      <c r="B218" t="s">
        <v>158</v>
      </c>
      <c r="C218" t="s">
        <v>639</v>
      </c>
      <c r="D218">
        <v>-1.9000000000000057</v>
      </c>
      <c r="E218">
        <f t="shared" si="9"/>
        <v>217</v>
      </c>
      <c r="F218" s="12" t="b">
        <f t="shared" si="10"/>
        <v>1</v>
      </c>
      <c r="G218">
        <f>IF(F218,COUNTIFS(F$2:F218,TRUE),"")</f>
        <v>194</v>
      </c>
      <c r="H218" t="str">
        <f t="shared" si="11"/>
        <v>Mid 16</v>
      </c>
    </row>
    <row r="219" spans="1:8" x14ac:dyDescent="0.25">
      <c r="A219" t="s">
        <v>313</v>
      </c>
      <c r="B219" t="s">
        <v>139</v>
      </c>
      <c r="C219" t="s">
        <v>288</v>
      </c>
      <c r="D219">
        <v>-2</v>
      </c>
      <c r="E219">
        <f t="shared" si="9"/>
        <v>219</v>
      </c>
      <c r="F219" s="12" t="b">
        <f t="shared" si="10"/>
        <v>1</v>
      </c>
      <c r="G219">
        <f>IF(F219,COUNTIFS(F$2:F219,TRUE),"")</f>
        <v>195</v>
      </c>
      <c r="H219" t="str">
        <f t="shared" si="11"/>
        <v>Mid 16</v>
      </c>
    </row>
    <row r="220" spans="1:8" x14ac:dyDescent="0.25">
      <c r="A220" s="12" t="s">
        <v>762</v>
      </c>
      <c r="B220" s="12" t="s">
        <v>160</v>
      </c>
      <c r="C220" s="12" t="s">
        <v>635</v>
      </c>
      <c r="D220" s="12">
        <v>-2</v>
      </c>
      <c r="E220" s="12">
        <f t="shared" si="9"/>
        <v>219</v>
      </c>
      <c r="F220" s="12" t="b">
        <f>color_fill(E220)</f>
        <v>1</v>
      </c>
      <c r="G220">
        <f>IF(F220,COUNTIFS(F$2:F220,TRUE),"")</f>
        <v>196</v>
      </c>
      <c r="H220" t="str">
        <f t="shared" si="11"/>
        <v>Mid 16</v>
      </c>
    </row>
    <row r="221" spans="1:8" x14ac:dyDescent="0.25">
      <c r="A221" t="s">
        <v>764</v>
      </c>
      <c r="B221" t="s">
        <v>160</v>
      </c>
      <c r="C221" t="s">
        <v>644</v>
      </c>
      <c r="D221">
        <v>-2</v>
      </c>
      <c r="E221">
        <f t="shared" si="9"/>
        <v>219</v>
      </c>
      <c r="F221" s="12" t="b">
        <f t="shared" si="10"/>
        <v>1</v>
      </c>
      <c r="G221">
        <f>IF(F221,COUNTIFS(F$2:F221,TRUE),"")</f>
        <v>197</v>
      </c>
      <c r="H221" t="str">
        <f t="shared" si="11"/>
        <v>Mid 16</v>
      </c>
    </row>
    <row r="222" spans="1:8" x14ac:dyDescent="0.25">
      <c r="A222" t="s">
        <v>209</v>
      </c>
      <c r="B222" t="s">
        <v>145</v>
      </c>
      <c r="C222" t="s">
        <v>162</v>
      </c>
      <c r="D222">
        <v>-2.4000000000000057</v>
      </c>
      <c r="E222">
        <f t="shared" si="9"/>
        <v>221</v>
      </c>
      <c r="F222" s="12" t="b">
        <f t="shared" si="10"/>
        <v>1</v>
      </c>
      <c r="G222">
        <f>IF(F222,COUNTIFS(F$2:F222,TRUE),"")</f>
        <v>198</v>
      </c>
      <c r="H222" t="str">
        <f t="shared" si="11"/>
        <v>Late 16</v>
      </c>
    </row>
    <row r="223" spans="1:8" x14ac:dyDescent="0.25">
      <c r="A223" t="s">
        <v>380</v>
      </c>
      <c r="B223" t="s">
        <v>158</v>
      </c>
      <c r="C223" t="s">
        <v>273</v>
      </c>
      <c r="D223">
        <v>-2.6000000000000085</v>
      </c>
      <c r="E223">
        <f t="shared" si="9"/>
        <v>222</v>
      </c>
      <c r="F223" s="12" t="b">
        <f t="shared" si="10"/>
        <v>1</v>
      </c>
      <c r="G223">
        <f>IF(F223,COUNTIFS(F$2:F223,TRUE),"")</f>
        <v>199</v>
      </c>
      <c r="H223" t="str">
        <f t="shared" si="11"/>
        <v>Late 16</v>
      </c>
    </row>
    <row r="224" spans="1:8" x14ac:dyDescent="0.25">
      <c r="A224" t="s">
        <v>264</v>
      </c>
      <c r="B224" t="s">
        <v>158</v>
      </c>
      <c r="C224" t="s">
        <v>162</v>
      </c>
      <c r="D224">
        <v>-2.7000000000000028</v>
      </c>
      <c r="E224">
        <f t="shared" si="9"/>
        <v>223</v>
      </c>
      <c r="F224" s="12" t="b">
        <f t="shared" si="10"/>
        <v>1</v>
      </c>
      <c r="G224">
        <f>IF(F224,COUNTIFS(F$2:F224,TRUE),"")</f>
        <v>200</v>
      </c>
      <c r="H224" t="str">
        <f t="shared" si="11"/>
        <v>Late 16</v>
      </c>
    </row>
    <row r="225" spans="1:8" x14ac:dyDescent="0.25">
      <c r="A225" t="s">
        <v>529</v>
      </c>
      <c r="B225" t="s">
        <v>145</v>
      </c>
      <c r="C225" t="s">
        <v>411</v>
      </c>
      <c r="D225">
        <v>-2.9000000000000057</v>
      </c>
      <c r="E225">
        <f t="shared" si="9"/>
        <v>224</v>
      </c>
      <c r="F225" s="12" t="b">
        <f t="shared" si="10"/>
        <v>1</v>
      </c>
      <c r="G225">
        <f>IF(F225,COUNTIFS(F$2:F225,TRUE),"")</f>
        <v>201</v>
      </c>
      <c r="H225" t="str">
        <f t="shared" si="11"/>
        <v>Late 16</v>
      </c>
    </row>
    <row r="226" spans="1:8" x14ac:dyDescent="0.25">
      <c r="A226" t="s">
        <v>270</v>
      </c>
      <c r="B226" t="s">
        <v>160</v>
      </c>
      <c r="C226" t="s">
        <v>172</v>
      </c>
      <c r="D226">
        <v>-3</v>
      </c>
      <c r="E226">
        <f t="shared" si="9"/>
        <v>225</v>
      </c>
      <c r="F226" s="12" t="b">
        <f t="shared" si="10"/>
        <v>1</v>
      </c>
      <c r="G226">
        <f>IF(F226,COUNTIFS(F$2:F226,TRUE),"")</f>
        <v>202</v>
      </c>
      <c r="H226" t="str">
        <f t="shared" si="11"/>
        <v>Early 17</v>
      </c>
    </row>
    <row r="227" spans="1:8" x14ac:dyDescent="0.25">
      <c r="A227" t="s">
        <v>614</v>
      </c>
      <c r="B227" t="s">
        <v>158</v>
      </c>
      <c r="C227" t="s">
        <v>408</v>
      </c>
      <c r="D227">
        <v>-3.2000000000000028</v>
      </c>
      <c r="E227">
        <f t="shared" si="9"/>
        <v>226</v>
      </c>
      <c r="F227" s="12" t="b">
        <f t="shared" si="10"/>
        <v>1</v>
      </c>
      <c r="G227">
        <f>IF(F227,COUNTIFS(F$2:F227,TRUE),"")</f>
        <v>203</v>
      </c>
      <c r="H227" t="str">
        <f t="shared" si="11"/>
        <v>Early 17</v>
      </c>
    </row>
    <row r="228" spans="1:8" x14ac:dyDescent="0.25">
      <c r="A228" t="s">
        <v>900</v>
      </c>
      <c r="B228" t="s">
        <v>160</v>
      </c>
      <c r="C228" t="s">
        <v>779</v>
      </c>
      <c r="D228">
        <v>-4</v>
      </c>
      <c r="E228">
        <f t="shared" si="9"/>
        <v>227</v>
      </c>
      <c r="F228" s="12" t="b">
        <f t="shared" si="10"/>
        <v>1</v>
      </c>
      <c r="G228">
        <f>IF(F228,COUNTIFS(F$2:F228,TRUE),"")</f>
        <v>204</v>
      </c>
      <c r="H228" t="str">
        <f t="shared" si="11"/>
        <v>Early 17</v>
      </c>
    </row>
    <row r="229" spans="1:8" x14ac:dyDescent="0.25">
      <c r="A229" t="s">
        <v>896</v>
      </c>
      <c r="B229" t="s">
        <v>158</v>
      </c>
      <c r="C229" t="s">
        <v>787</v>
      </c>
      <c r="D229">
        <v>-5.2000000000000028</v>
      </c>
      <c r="E229">
        <f t="shared" si="9"/>
        <v>228</v>
      </c>
      <c r="F229" s="12" t="b">
        <f t="shared" si="10"/>
        <v>1</v>
      </c>
      <c r="G229">
        <f>IF(F229,COUNTIFS(F$2:F229,TRUE),"")</f>
        <v>205</v>
      </c>
      <c r="H229" t="str">
        <f t="shared" si="11"/>
        <v>Early 17</v>
      </c>
    </row>
    <row r="230" spans="1:8" x14ac:dyDescent="0.25">
      <c r="A230" t="s">
        <v>591</v>
      </c>
      <c r="B230" t="s">
        <v>153</v>
      </c>
      <c r="C230" t="s">
        <v>417</v>
      </c>
      <c r="D230">
        <v>-5.2999999999999972</v>
      </c>
      <c r="E230">
        <f t="shared" si="9"/>
        <v>229</v>
      </c>
      <c r="F230" s="12" t="b">
        <f t="shared" si="10"/>
        <v>1</v>
      </c>
      <c r="G230">
        <f>IF(F230,COUNTIFS(F$2:F230,TRUE),"")</f>
        <v>206</v>
      </c>
      <c r="H230" t="str">
        <f t="shared" si="11"/>
        <v>Early 17</v>
      </c>
    </row>
    <row r="231" spans="1:8" x14ac:dyDescent="0.25">
      <c r="A231" t="s">
        <v>452</v>
      </c>
      <c r="B231" t="s">
        <v>139</v>
      </c>
      <c r="C231" t="s">
        <v>404</v>
      </c>
      <c r="D231">
        <v>-5.3000000000000114</v>
      </c>
      <c r="E231">
        <f t="shared" si="9"/>
        <v>230</v>
      </c>
      <c r="F231" s="12" t="b">
        <f t="shared" si="10"/>
        <v>1</v>
      </c>
      <c r="G231">
        <f>IF(F231,COUNTIFS(F$2:F231,TRUE),"")</f>
        <v>207</v>
      </c>
      <c r="H231" t="str">
        <f t="shared" si="11"/>
        <v>Mid 17</v>
      </c>
    </row>
    <row r="232" spans="1:8" x14ac:dyDescent="0.25">
      <c r="A232" t="s">
        <v>894</v>
      </c>
      <c r="B232" t="s">
        <v>158</v>
      </c>
      <c r="C232" t="s">
        <v>779</v>
      </c>
      <c r="D232">
        <v>-5.7000000000000028</v>
      </c>
      <c r="E232">
        <f t="shared" si="9"/>
        <v>231</v>
      </c>
      <c r="F232" s="12" t="b">
        <f t="shared" si="10"/>
        <v>1</v>
      </c>
      <c r="G232">
        <f>IF(F232,COUNTIFS(F$2:F232,TRUE),"")</f>
        <v>208</v>
      </c>
      <c r="H232" t="str">
        <f t="shared" si="11"/>
        <v>Mid 17</v>
      </c>
    </row>
    <row r="233" spans="1:8" x14ac:dyDescent="0.25">
      <c r="A233" t="s">
        <v>287</v>
      </c>
      <c r="B233" t="s">
        <v>116</v>
      </c>
      <c r="C233" t="s">
        <v>288</v>
      </c>
      <c r="D233">
        <v>-5.8999999999999773</v>
      </c>
      <c r="E233">
        <f t="shared" si="9"/>
        <v>232</v>
      </c>
      <c r="F233" s="12" t="b">
        <f t="shared" si="10"/>
        <v>1</v>
      </c>
      <c r="G233">
        <f>IF(F233,COUNTIFS(F$2:F233,TRUE),"")</f>
        <v>209</v>
      </c>
      <c r="H233" t="str">
        <f t="shared" si="11"/>
        <v>Mid 17</v>
      </c>
    </row>
    <row r="234" spans="1:8" x14ac:dyDescent="0.25">
      <c r="A234" t="s">
        <v>610</v>
      </c>
      <c r="B234" t="s">
        <v>158</v>
      </c>
      <c r="C234" t="s">
        <v>393</v>
      </c>
      <c r="D234">
        <v>-5.9000000000000057</v>
      </c>
      <c r="E234">
        <f t="shared" si="9"/>
        <v>233.5</v>
      </c>
      <c r="F234" s="12" t="b">
        <f t="shared" si="10"/>
        <v>1</v>
      </c>
      <c r="G234">
        <f>IF(F234,COUNTIFS(F$2:F234,TRUE),"")</f>
        <v>210</v>
      </c>
      <c r="H234" t="str">
        <f t="shared" si="11"/>
        <v>Mid 17</v>
      </c>
    </row>
    <row r="235" spans="1:8" x14ac:dyDescent="0.25">
      <c r="A235" t="s">
        <v>891</v>
      </c>
      <c r="B235" t="s">
        <v>158</v>
      </c>
      <c r="C235" t="s">
        <v>768</v>
      </c>
      <c r="D235">
        <v>-5.9000000000000057</v>
      </c>
      <c r="E235">
        <f t="shared" si="9"/>
        <v>233.5</v>
      </c>
      <c r="F235" s="12" t="b">
        <f t="shared" si="10"/>
        <v>1</v>
      </c>
      <c r="G235">
        <f>IF(F235,COUNTIFS(F$2:F235,TRUE),"")</f>
        <v>211</v>
      </c>
      <c r="H235" t="str">
        <f t="shared" si="11"/>
        <v>Mid 17</v>
      </c>
    </row>
    <row r="236" spans="1:8" x14ac:dyDescent="0.25">
      <c r="A236" t="s">
        <v>712</v>
      </c>
      <c r="B236" t="s">
        <v>145</v>
      </c>
      <c r="C236" t="s">
        <v>644</v>
      </c>
      <c r="D236">
        <v>-6</v>
      </c>
      <c r="E236">
        <f t="shared" si="9"/>
        <v>236</v>
      </c>
      <c r="F236" s="12" t="b">
        <f t="shared" si="10"/>
        <v>1</v>
      </c>
      <c r="G236">
        <f>IF(F236,COUNTIFS(F$2:F236,TRUE),"")</f>
        <v>212</v>
      </c>
      <c r="H236" t="str">
        <f t="shared" si="11"/>
        <v>Late 17</v>
      </c>
    </row>
    <row r="237" spans="1:8" x14ac:dyDescent="0.25">
      <c r="A237" t="s">
        <v>627</v>
      </c>
      <c r="B237" t="s">
        <v>160</v>
      </c>
      <c r="C237" t="s">
        <v>421</v>
      </c>
      <c r="D237">
        <v>-6</v>
      </c>
      <c r="E237">
        <f t="shared" si="9"/>
        <v>236</v>
      </c>
      <c r="F237" s="12" t="b">
        <f t="shared" si="10"/>
        <v>1</v>
      </c>
      <c r="G237">
        <f>IF(F237,COUNTIFS(F$2:F237,TRUE),"")</f>
        <v>213</v>
      </c>
      <c r="H237" t="str">
        <f t="shared" si="11"/>
        <v>Late 17</v>
      </c>
    </row>
    <row r="238" spans="1:8" x14ac:dyDescent="0.25">
      <c r="A238" t="s">
        <v>897</v>
      </c>
      <c r="B238" t="s">
        <v>160</v>
      </c>
      <c r="C238" t="s">
        <v>768</v>
      </c>
      <c r="D238">
        <v>-6</v>
      </c>
      <c r="E238">
        <f t="shared" si="9"/>
        <v>236</v>
      </c>
      <c r="F238" s="12" t="b">
        <f t="shared" si="10"/>
        <v>1</v>
      </c>
      <c r="G238">
        <f>IF(F238,COUNTIFS(F$2:F238,TRUE),"")</f>
        <v>214</v>
      </c>
      <c r="H238" t="str">
        <f t="shared" si="11"/>
        <v>Late 17</v>
      </c>
    </row>
    <row r="239" spans="1:8" x14ac:dyDescent="0.25">
      <c r="A239" t="s">
        <v>730</v>
      </c>
      <c r="B239" t="s">
        <v>153</v>
      </c>
      <c r="C239" t="s">
        <v>631</v>
      </c>
      <c r="D239">
        <v>-6.0999999999999943</v>
      </c>
      <c r="E239">
        <f t="shared" si="9"/>
        <v>238</v>
      </c>
      <c r="F239" s="12" t="b">
        <f t="shared" si="10"/>
        <v>1</v>
      </c>
      <c r="G239">
        <f>IF(F239,COUNTIFS(F$2:F239,TRUE),"")</f>
        <v>215</v>
      </c>
      <c r="H239" t="str">
        <f t="shared" si="11"/>
        <v>Late 17</v>
      </c>
    </row>
    <row r="240" spans="1:8" x14ac:dyDescent="0.25">
      <c r="A240" t="s">
        <v>547</v>
      </c>
      <c r="B240" t="s">
        <v>145</v>
      </c>
      <c r="C240" t="s">
        <v>421</v>
      </c>
      <c r="D240">
        <v>-6.7000000000000028</v>
      </c>
      <c r="E240">
        <f t="shared" si="9"/>
        <v>239</v>
      </c>
      <c r="F240" s="12" t="b">
        <f t="shared" si="10"/>
        <v>1</v>
      </c>
      <c r="G240">
        <f>IF(F240,COUNTIFS(F$2:F240,TRUE),"")</f>
        <v>216</v>
      </c>
      <c r="H240" t="str">
        <f t="shared" si="11"/>
        <v>Early 18</v>
      </c>
    </row>
    <row r="241" spans="1:8" x14ac:dyDescent="0.25">
      <c r="A241" t="s">
        <v>878</v>
      </c>
      <c r="B241" t="s">
        <v>153</v>
      </c>
      <c r="C241" t="s">
        <v>779</v>
      </c>
      <c r="D241">
        <v>-6.7999999999999972</v>
      </c>
      <c r="E241">
        <f t="shared" si="9"/>
        <v>240</v>
      </c>
      <c r="F241" s="12" t="b">
        <f t="shared" si="10"/>
        <v>1</v>
      </c>
      <c r="G241">
        <f>IF(F241,COUNTIFS(F$2:F241,TRUE),"")</f>
        <v>217</v>
      </c>
      <c r="H241" t="str">
        <f t="shared" si="11"/>
        <v>Early 18</v>
      </c>
    </row>
    <row r="242" spans="1:8" x14ac:dyDescent="0.25">
      <c r="A242" t="s">
        <v>799</v>
      </c>
      <c r="B242" t="s">
        <v>139</v>
      </c>
      <c r="C242" t="s">
        <v>774</v>
      </c>
      <c r="D242">
        <v>-7</v>
      </c>
      <c r="E242">
        <f t="shared" si="9"/>
        <v>241</v>
      </c>
      <c r="F242" s="12" t="b">
        <f t="shared" si="10"/>
        <v>1</v>
      </c>
      <c r="G242">
        <f>IF(F242,COUNTIFS(F$2:F242,TRUE),"")</f>
        <v>218</v>
      </c>
      <c r="H242" t="str">
        <f t="shared" si="11"/>
        <v>Early 18</v>
      </c>
    </row>
    <row r="243" spans="1:8" x14ac:dyDescent="0.25">
      <c r="A243" t="s">
        <v>838</v>
      </c>
      <c r="B243" t="s">
        <v>145</v>
      </c>
      <c r="C243" t="s">
        <v>774</v>
      </c>
      <c r="D243">
        <v>-7.5</v>
      </c>
      <c r="E243">
        <f t="shared" si="9"/>
        <v>242.5</v>
      </c>
      <c r="F243" s="12" t="b">
        <f t="shared" si="10"/>
        <v>1</v>
      </c>
      <c r="G243">
        <f>IF(F243,COUNTIFS(F$2:F243,TRUE),"")</f>
        <v>219</v>
      </c>
      <c r="H243" t="str">
        <f t="shared" si="11"/>
        <v>Early 18</v>
      </c>
    </row>
    <row r="244" spans="1:8" x14ac:dyDescent="0.25">
      <c r="A244" t="s">
        <v>592</v>
      </c>
      <c r="B244" t="s">
        <v>153</v>
      </c>
      <c r="C244" t="s">
        <v>417</v>
      </c>
      <c r="D244">
        <v>-7.5</v>
      </c>
      <c r="E244">
        <f t="shared" si="9"/>
        <v>242.5</v>
      </c>
      <c r="F244" s="12" t="b">
        <f t="shared" si="10"/>
        <v>1</v>
      </c>
      <c r="G244">
        <f>IF(F244,COUNTIFS(F$2:F244,TRUE),"")</f>
        <v>220</v>
      </c>
      <c r="H244" t="str">
        <f t="shared" si="11"/>
        <v>Early 18</v>
      </c>
    </row>
    <row r="245" spans="1:8" x14ac:dyDescent="0.25">
      <c r="A245" t="s">
        <v>612</v>
      </c>
      <c r="B245" t="s">
        <v>158</v>
      </c>
      <c r="C245" t="s">
        <v>400</v>
      </c>
      <c r="D245">
        <v>-8</v>
      </c>
      <c r="E245">
        <f t="shared" si="9"/>
        <v>245.5</v>
      </c>
      <c r="F245" s="12" t="b">
        <f t="shared" si="10"/>
        <v>1</v>
      </c>
      <c r="G245">
        <f>IF(F245,COUNTIFS(F$2:F245,TRUE),"")</f>
        <v>221</v>
      </c>
      <c r="H245" t="str">
        <f t="shared" si="11"/>
        <v>Mid 18</v>
      </c>
    </row>
    <row r="246" spans="1:8" x14ac:dyDescent="0.25">
      <c r="A246" t="s">
        <v>269</v>
      </c>
      <c r="B246" t="s">
        <v>160</v>
      </c>
      <c r="C246" t="s">
        <v>167</v>
      </c>
      <c r="D246">
        <v>-8</v>
      </c>
      <c r="E246">
        <f t="shared" si="9"/>
        <v>245.5</v>
      </c>
      <c r="F246" s="12" t="b">
        <f t="shared" si="10"/>
        <v>1</v>
      </c>
      <c r="G246">
        <f>IF(F246,COUNTIFS(F$2:F246,TRUE),"")</f>
        <v>222</v>
      </c>
      <c r="H246" t="str">
        <f t="shared" si="11"/>
        <v>Mid 18</v>
      </c>
    </row>
    <row r="247" spans="1:8" x14ac:dyDescent="0.25">
      <c r="A247" t="s">
        <v>387</v>
      </c>
      <c r="B247" t="s">
        <v>160</v>
      </c>
      <c r="C247" t="s">
        <v>273</v>
      </c>
      <c r="D247">
        <v>-8</v>
      </c>
      <c r="E247">
        <f t="shared" si="9"/>
        <v>245.5</v>
      </c>
      <c r="F247" s="12" t="b">
        <f t="shared" si="10"/>
        <v>1</v>
      </c>
      <c r="G247">
        <f>IF(F247,COUNTIFS(F$2:F247,TRUE),"")</f>
        <v>223</v>
      </c>
      <c r="H247" t="str">
        <f t="shared" si="11"/>
        <v>Mid 18</v>
      </c>
    </row>
    <row r="248" spans="1:8" x14ac:dyDescent="0.25">
      <c r="A248" t="s">
        <v>623</v>
      </c>
      <c r="B248" t="s">
        <v>160</v>
      </c>
      <c r="C248" t="s">
        <v>404</v>
      </c>
      <c r="D248">
        <v>-8</v>
      </c>
      <c r="E248">
        <f t="shared" si="9"/>
        <v>245.5</v>
      </c>
      <c r="F248" s="12" t="b">
        <f t="shared" si="10"/>
        <v>1</v>
      </c>
      <c r="G248">
        <f>IF(F248,COUNTIFS(F$2:F248,TRUE),"")</f>
        <v>224</v>
      </c>
      <c r="H248" t="str">
        <f t="shared" si="11"/>
        <v>Mid 18</v>
      </c>
    </row>
    <row r="249" spans="1:8" x14ac:dyDescent="0.25">
      <c r="A249" t="s">
        <v>554</v>
      </c>
      <c r="B249" t="s">
        <v>145</v>
      </c>
      <c r="C249" t="s">
        <v>426</v>
      </c>
      <c r="D249">
        <v>-8.0999999999999943</v>
      </c>
      <c r="E249">
        <f t="shared" si="9"/>
        <v>248</v>
      </c>
      <c r="F249" s="12" t="b">
        <f t="shared" si="10"/>
        <v>1</v>
      </c>
      <c r="G249">
        <f>IF(F249,COUNTIFS(F$2:F249,TRUE),"")</f>
        <v>225</v>
      </c>
      <c r="H249" t="str">
        <f t="shared" si="11"/>
        <v>Late 18</v>
      </c>
    </row>
    <row r="250" spans="1:8" x14ac:dyDescent="0.25">
      <c r="A250" t="s">
        <v>756</v>
      </c>
      <c r="B250" t="s">
        <v>158</v>
      </c>
      <c r="C250" t="s">
        <v>644</v>
      </c>
      <c r="D250">
        <v>-8.1000000000000085</v>
      </c>
      <c r="E250">
        <f t="shared" si="9"/>
        <v>249</v>
      </c>
      <c r="F250" s="12" t="b">
        <f t="shared" si="10"/>
        <v>1</v>
      </c>
      <c r="G250">
        <f>IF(F250,COUNTIFS(F$2:F250,TRUE),"")</f>
        <v>226</v>
      </c>
      <c r="H250" t="str">
        <f t="shared" si="11"/>
        <v>Late 18</v>
      </c>
    </row>
    <row r="251" spans="1:8" x14ac:dyDescent="0.25">
      <c r="A251" t="s">
        <v>266</v>
      </c>
      <c r="B251" t="s">
        <v>158</v>
      </c>
      <c r="C251" t="s">
        <v>172</v>
      </c>
      <c r="D251">
        <v>-8.4000000000000057</v>
      </c>
      <c r="E251">
        <f t="shared" si="9"/>
        <v>250</v>
      </c>
      <c r="F251" s="12" t="b">
        <f t="shared" si="10"/>
        <v>1</v>
      </c>
      <c r="G251">
        <f>IF(F251,COUNTIFS(F$2:F251,TRUE),"")</f>
        <v>227</v>
      </c>
      <c r="H251" t="str">
        <f t="shared" si="11"/>
        <v>Late 18</v>
      </c>
    </row>
    <row r="252" spans="1:8" x14ac:dyDescent="0.25">
      <c r="A252" t="s">
        <v>340</v>
      </c>
      <c r="B252" t="s">
        <v>145</v>
      </c>
      <c r="C252" t="s">
        <v>283</v>
      </c>
      <c r="D252">
        <v>-8.5</v>
      </c>
      <c r="E252">
        <f t="shared" si="9"/>
        <v>251</v>
      </c>
      <c r="F252" s="12" t="b">
        <f t="shared" si="10"/>
        <v>1</v>
      </c>
      <c r="G252">
        <f>IF(F252,COUNTIFS(F$2:F252,TRUE),"")</f>
        <v>228</v>
      </c>
      <c r="H252" t="str">
        <f t="shared" si="11"/>
        <v>Late 18</v>
      </c>
    </row>
    <row r="253" spans="1:8" x14ac:dyDescent="0.25">
      <c r="A253" t="s">
        <v>652</v>
      </c>
      <c r="B253" t="s">
        <v>139</v>
      </c>
      <c r="C253" t="s">
        <v>631</v>
      </c>
      <c r="D253">
        <v>-8.5999999999999943</v>
      </c>
      <c r="E253">
        <f t="shared" si="9"/>
        <v>252</v>
      </c>
      <c r="F253" s="12" t="b">
        <f t="shared" si="10"/>
        <v>1</v>
      </c>
      <c r="G253">
        <f>IF(F253,COUNTIFS(F$2:F253,TRUE),"")</f>
        <v>229</v>
      </c>
      <c r="H253" t="str">
        <f t="shared" si="11"/>
        <v>Late 18</v>
      </c>
    </row>
    <row r="254" spans="1:8" x14ac:dyDescent="0.25">
      <c r="A254" t="s">
        <v>470</v>
      </c>
      <c r="B254" t="s">
        <v>139</v>
      </c>
      <c r="C254" t="s">
        <v>417</v>
      </c>
      <c r="D254">
        <v>-9.2000000000000028</v>
      </c>
      <c r="E254">
        <f t="shared" si="9"/>
        <v>253</v>
      </c>
      <c r="F254" s="12" t="b">
        <f t="shared" si="10"/>
        <v>1</v>
      </c>
      <c r="G254">
        <f>IF(F254,COUNTIFS(F$2:F254,TRUE),"")</f>
        <v>230</v>
      </c>
      <c r="H254" t="str">
        <f t="shared" si="11"/>
        <v>Early 19</v>
      </c>
    </row>
    <row r="255" spans="1:8" x14ac:dyDescent="0.25">
      <c r="A255" t="s">
        <v>875</v>
      </c>
      <c r="B255" t="s">
        <v>153</v>
      </c>
      <c r="C255" t="s">
        <v>774</v>
      </c>
      <c r="D255">
        <v>-9.2999999999999972</v>
      </c>
      <c r="E255">
        <f t="shared" si="9"/>
        <v>254</v>
      </c>
      <c r="F255" s="12" t="b">
        <f t="shared" si="10"/>
        <v>1</v>
      </c>
      <c r="G255">
        <f>IF(F255,COUNTIFS(F$2:F255,TRUE),"")</f>
        <v>231</v>
      </c>
      <c r="H255" t="str">
        <f t="shared" si="11"/>
        <v>Early 19</v>
      </c>
    </row>
    <row r="256" spans="1:8" x14ac:dyDescent="0.25">
      <c r="A256" t="s">
        <v>855</v>
      </c>
      <c r="B256" t="s">
        <v>145</v>
      </c>
      <c r="C256" t="s">
        <v>783</v>
      </c>
      <c r="D256">
        <v>-9.5999999999999943</v>
      </c>
      <c r="E256">
        <f t="shared" si="9"/>
        <v>255</v>
      </c>
      <c r="F256" s="12" t="b">
        <f t="shared" si="10"/>
        <v>1</v>
      </c>
      <c r="G256">
        <f>IF(F256,COUNTIFS(F$2:F256,TRUE),"")</f>
        <v>232</v>
      </c>
      <c r="H256" t="str">
        <f t="shared" si="11"/>
        <v>Early 19</v>
      </c>
    </row>
    <row r="257" spans="1:8" x14ac:dyDescent="0.25">
      <c r="A257" t="s">
        <v>272</v>
      </c>
      <c r="B257" t="s">
        <v>116</v>
      </c>
      <c r="C257" t="s">
        <v>273</v>
      </c>
      <c r="D257">
        <v>-10.099999999999966</v>
      </c>
      <c r="E257">
        <f t="shared" si="9"/>
        <v>256</v>
      </c>
      <c r="F257" s="12" t="b">
        <f t="shared" si="10"/>
        <v>1</v>
      </c>
      <c r="G257">
        <f>IF(F257,COUNTIFS(F$2:F257,TRUE),"")</f>
        <v>233</v>
      </c>
      <c r="H257" t="str">
        <f t="shared" si="11"/>
        <v>Early 19</v>
      </c>
    </row>
    <row r="258" spans="1:8" x14ac:dyDescent="0.25">
      <c r="A258" t="s">
        <v>653</v>
      </c>
      <c r="B258" t="s">
        <v>139</v>
      </c>
      <c r="C258" t="s">
        <v>631</v>
      </c>
      <c r="D258">
        <v>-10.299999999999997</v>
      </c>
      <c r="E258">
        <f t="shared" ref="E258:E321" si="12">_xlfn.RANK.AVG(D258,$D$2:$D$738,0)</f>
        <v>257</v>
      </c>
      <c r="F258" s="12" t="b">
        <f t="shared" si="10"/>
        <v>1</v>
      </c>
      <c r="G258">
        <f>IF(F258,COUNTIFS(F$2:F258,TRUE),"")</f>
        <v>234</v>
      </c>
      <c r="H258" t="str">
        <f t="shared" si="11"/>
        <v>Early 19</v>
      </c>
    </row>
    <row r="259" spans="1:8" x14ac:dyDescent="0.25">
      <c r="A259" t="s">
        <v>383</v>
      </c>
      <c r="B259" t="s">
        <v>158</v>
      </c>
      <c r="C259" t="s">
        <v>283</v>
      </c>
      <c r="D259">
        <v>-10.900000000000006</v>
      </c>
      <c r="E259">
        <f t="shared" si="12"/>
        <v>258</v>
      </c>
      <c r="F259" s="12" t="b">
        <f t="shared" ref="F259:F322" si="13">color_fill(E259)</f>
        <v>1</v>
      </c>
      <c r="G259">
        <f>IF(F259,COUNTIFS(F$2:F259,TRUE),"")</f>
        <v>235</v>
      </c>
      <c r="H259" t="str">
        <f t="shared" ref="H259:H322" si="14">VLOOKUP(MOD(E259,14),$Q$2:$R$5,2,TRUE)&amp;" "&amp;_xlfn.CEILING.MATH((E259)/14)</f>
        <v>Mid 19</v>
      </c>
    </row>
    <row r="260" spans="1:8" x14ac:dyDescent="0.25">
      <c r="A260" t="s">
        <v>620</v>
      </c>
      <c r="B260" t="s">
        <v>160</v>
      </c>
      <c r="C260" t="s">
        <v>393</v>
      </c>
      <c r="D260">
        <v>-11</v>
      </c>
      <c r="E260">
        <f t="shared" si="12"/>
        <v>259</v>
      </c>
      <c r="F260" s="12" t="b">
        <f t="shared" si="13"/>
        <v>1</v>
      </c>
      <c r="G260">
        <f>IF(F260,COUNTIFS(F$2:F260,TRUE),"")</f>
        <v>236</v>
      </c>
      <c r="H260" t="str">
        <f t="shared" si="14"/>
        <v>Mid 19</v>
      </c>
    </row>
    <row r="261" spans="1:8" x14ac:dyDescent="0.25">
      <c r="A261" s="11" t="s">
        <v>597</v>
      </c>
      <c r="B261" s="11" t="s">
        <v>153</v>
      </c>
      <c r="C261" s="11" t="s">
        <v>421</v>
      </c>
      <c r="D261" s="11">
        <v>-11.400000000000006</v>
      </c>
      <c r="E261" s="11">
        <f t="shared" si="12"/>
        <v>260</v>
      </c>
      <c r="F261" s="12" t="b">
        <f t="shared" si="13"/>
        <v>1</v>
      </c>
      <c r="G261">
        <f>IF(F261,COUNTIFS(F$2:F261,TRUE),"")</f>
        <v>237</v>
      </c>
      <c r="H261" t="str">
        <f t="shared" si="14"/>
        <v>Mid 19</v>
      </c>
    </row>
    <row r="262" spans="1:8" x14ac:dyDescent="0.25">
      <c r="A262" s="11" t="s">
        <v>140</v>
      </c>
      <c r="B262" s="11" t="s">
        <v>139</v>
      </c>
      <c r="C262" s="11" t="s">
        <v>135</v>
      </c>
      <c r="D262" s="11">
        <v>-12.200000000000003</v>
      </c>
      <c r="E262" s="11">
        <f t="shared" si="12"/>
        <v>261</v>
      </c>
      <c r="F262" s="12" t="b">
        <f t="shared" si="13"/>
        <v>1</v>
      </c>
      <c r="G262">
        <f>IF(F262,COUNTIFS(F$2:F262,TRUE),"")</f>
        <v>238</v>
      </c>
      <c r="H262" t="str">
        <f t="shared" si="14"/>
        <v>Mid 19</v>
      </c>
    </row>
    <row r="263" spans="1:8" x14ac:dyDescent="0.25">
      <c r="A263" t="s">
        <v>203</v>
      </c>
      <c r="B263" t="s">
        <v>139</v>
      </c>
      <c r="C263" t="s">
        <v>176</v>
      </c>
      <c r="D263">
        <v>-12.599999999999994</v>
      </c>
      <c r="E263">
        <f t="shared" si="12"/>
        <v>262</v>
      </c>
      <c r="F263" s="12" t="b">
        <f t="shared" si="13"/>
        <v>1</v>
      </c>
      <c r="G263">
        <f>IF(F263,COUNTIFS(F$2:F263,TRUE),"")</f>
        <v>239</v>
      </c>
      <c r="H263" t="str">
        <f t="shared" si="14"/>
        <v>Late 19</v>
      </c>
    </row>
    <row r="264" spans="1:8" x14ac:dyDescent="0.25">
      <c r="A264" t="s">
        <v>561</v>
      </c>
      <c r="B264" t="s">
        <v>145</v>
      </c>
      <c r="C264" t="s">
        <v>430</v>
      </c>
      <c r="D264">
        <v>-13.100000000000009</v>
      </c>
      <c r="E264">
        <f t="shared" si="12"/>
        <v>263</v>
      </c>
      <c r="F264" s="12" t="b">
        <f t="shared" si="13"/>
        <v>1</v>
      </c>
      <c r="G264">
        <f>IF(F264,COUNTIFS(F$2:F264,TRUE),"")</f>
        <v>240</v>
      </c>
      <c r="H264" t="str">
        <f t="shared" si="14"/>
        <v>Late 19</v>
      </c>
    </row>
    <row r="265" spans="1:8" x14ac:dyDescent="0.25">
      <c r="A265" t="s">
        <v>319</v>
      </c>
      <c r="B265" t="s">
        <v>139</v>
      </c>
      <c r="C265" t="s">
        <v>292</v>
      </c>
      <c r="D265">
        <v>-13.5</v>
      </c>
      <c r="E265">
        <f t="shared" si="12"/>
        <v>264</v>
      </c>
      <c r="F265" s="12" t="b">
        <f t="shared" si="13"/>
        <v>1</v>
      </c>
      <c r="G265">
        <f>IF(F265,COUNTIFS(F$2:F265,TRUE),"")</f>
        <v>241</v>
      </c>
      <c r="H265" t="str">
        <f t="shared" si="14"/>
        <v>Late 19</v>
      </c>
    </row>
    <row r="266" spans="1:8" x14ac:dyDescent="0.25">
      <c r="A266" t="s">
        <v>268</v>
      </c>
      <c r="B266" t="s">
        <v>160</v>
      </c>
      <c r="C266" t="s">
        <v>162</v>
      </c>
      <c r="D266">
        <v>-14</v>
      </c>
      <c r="E266">
        <f t="shared" si="12"/>
        <v>265</v>
      </c>
      <c r="F266" s="12" t="b">
        <f t="shared" si="13"/>
        <v>1</v>
      </c>
      <c r="G266">
        <f>IF(F266,COUNTIFS(F$2:F266,TRUE),"")</f>
        <v>242</v>
      </c>
      <c r="H266" t="str">
        <f t="shared" si="14"/>
        <v>Late 19</v>
      </c>
    </row>
    <row r="267" spans="1:8" x14ac:dyDescent="0.25">
      <c r="A267" s="11" t="s">
        <v>188</v>
      </c>
      <c r="B267" s="11" t="s">
        <v>139</v>
      </c>
      <c r="C267" s="11" t="s">
        <v>167</v>
      </c>
      <c r="D267" s="11">
        <v>-15.299999999999997</v>
      </c>
      <c r="E267" s="11">
        <f t="shared" si="12"/>
        <v>266</v>
      </c>
      <c r="F267" s="12" t="b">
        <f t="shared" si="13"/>
        <v>1</v>
      </c>
      <c r="G267">
        <f>IF(F267,COUNTIFS(F$2:F267,TRUE),"")</f>
        <v>243</v>
      </c>
      <c r="H267" t="str">
        <f t="shared" si="14"/>
        <v>Late 19</v>
      </c>
    </row>
    <row r="268" spans="1:8" x14ac:dyDescent="0.25">
      <c r="A268" s="11" t="s">
        <v>320</v>
      </c>
      <c r="B268" s="11" t="s">
        <v>139</v>
      </c>
      <c r="C268" s="11" t="s">
        <v>292</v>
      </c>
      <c r="D268" s="11">
        <v>-15.300000000000011</v>
      </c>
      <c r="E268" s="11">
        <f t="shared" si="12"/>
        <v>267</v>
      </c>
      <c r="F268" s="12" t="b">
        <f t="shared" si="13"/>
        <v>1</v>
      </c>
      <c r="G268">
        <f>IF(F268,COUNTIFS(F$2:F268,TRUE),"")</f>
        <v>244</v>
      </c>
      <c r="H268" t="str">
        <f t="shared" si="14"/>
        <v>Early 20</v>
      </c>
    </row>
    <row r="269" spans="1:8" x14ac:dyDescent="0.25">
      <c r="A269" t="s">
        <v>616</v>
      </c>
      <c r="B269" t="s">
        <v>158</v>
      </c>
      <c r="C269" t="s">
        <v>417</v>
      </c>
      <c r="D269">
        <v>-15.600000000000009</v>
      </c>
      <c r="E269">
        <f t="shared" si="12"/>
        <v>268</v>
      </c>
      <c r="F269" s="12" t="b">
        <f t="shared" si="13"/>
        <v>1</v>
      </c>
      <c r="G269">
        <f>IF(F269,COUNTIFS(F$2:F269,TRUE),"")</f>
        <v>245</v>
      </c>
      <c r="H269" t="str">
        <f t="shared" si="14"/>
        <v>Early 20</v>
      </c>
    </row>
    <row r="270" spans="1:8" x14ac:dyDescent="0.25">
      <c r="A270" t="s">
        <v>893</v>
      </c>
      <c r="B270" t="s">
        <v>158</v>
      </c>
      <c r="C270" t="s">
        <v>774</v>
      </c>
      <c r="D270">
        <v>-15.900000000000006</v>
      </c>
      <c r="E270">
        <f t="shared" si="12"/>
        <v>269</v>
      </c>
      <c r="F270" s="12" t="b">
        <f t="shared" si="13"/>
        <v>1</v>
      </c>
      <c r="G270">
        <f>IF(F270,COUNTIFS(F$2:F270,TRUE),"")</f>
        <v>246</v>
      </c>
      <c r="H270" t="str">
        <f t="shared" si="14"/>
        <v>Early 20</v>
      </c>
    </row>
    <row r="271" spans="1:8" x14ac:dyDescent="0.25">
      <c r="A271" t="s">
        <v>824</v>
      </c>
      <c r="B271" t="s">
        <v>145</v>
      </c>
      <c r="C271" t="s">
        <v>768</v>
      </c>
      <c r="D271">
        <v>-16.700000000000003</v>
      </c>
      <c r="E271">
        <f t="shared" si="12"/>
        <v>270.5</v>
      </c>
      <c r="F271" s="12" t="b">
        <f t="shared" si="13"/>
        <v>1</v>
      </c>
      <c r="G271">
        <f>IF(F271,COUNTIFS(F$2:F271,TRUE),"")</f>
        <v>247</v>
      </c>
      <c r="H271" t="str">
        <f t="shared" si="14"/>
        <v>Early 20</v>
      </c>
    </row>
    <row r="272" spans="1:8" x14ac:dyDescent="0.25">
      <c r="A272" t="s">
        <v>741</v>
      </c>
      <c r="B272" t="s">
        <v>153</v>
      </c>
      <c r="C272" t="s">
        <v>644</v>
      </c>
      <c r="D272">
        <v>-16.700000000000003</v>
      </c>
      <c r="E272">
        <f t="shared" si="12"/>
        <v>270.5</v>
      </c>
      <c r="F272" s="12" t="b">
        <f t="shared" si="13"/>
        <v>1</v>
      </c>
      <c r="G272">
        <f>IF(F272,COUNTIFS(F$2:F272,TRUE),"")</f>
        <v>248</v>
      </c>
      <c r="H272" t="str">
        <f t="shared" si="14"/>
        <v>Early 20</v>
      </c>
    </row>
    <row r="273" spans="1:8" x14ac:dyDescent="0.25">
      <c r="A273" t="s">
        <v>757</v>
      </c>
      <c r="B273" t="s">
        <v>158</v>
      </c>
      <c r="C273" t="s">
        <v>107</v>
      </c>
      <c r="D273">
        <v>-17.100000000000009</v>
      </c>
      <c r="E273">
        <f t="shared" si="12"/>
        <v>272</v>
      </c>
      <c r="F273" s="12" t="b">
        <f t="shared" si="13"/>
        <v>1</v>
      </c>
      <c r="G273">
        <f>IF(F273,COUNTIFS(F$2:F273,TRUE),"")</f>
        <v>249</v>
      </c>
      <c r="H273" t="str">
        <f t="shared" si="14"/>
        <v>Mid 20</v>
      </c>
    </row>
    <row r="274" spans="1:8" x14ac:dyDescent="0.25">
      <c r="A274" t="s">
        <v>530</v>
      </c>
      <c r="B274" t="s">
        <v>145</v>
      </c>
      <c r="C274" t="s">
        <v>411</v>
      </c>
      <c r="D274">
        <v>-17.200000000000003</v>
      </c>
      <c r="E274">
        <f t="shared" si="12"/>
        <v>273.5</v>
      </c>
      <c r="F274" s="12" t="b">
        <f t="shared" si="13"/>
        <v>1</v>
      </c>
      <c r="G274">
        <f>IF(F274,COUNTIFS(F$2:F274,TRUE),"")</f>
        <v>250</v>
      </c>
      <c r="H274" t="str">
        <f t="shared" si="14"/>
        <v>Mid 20</v>
      </c>
    </row>
    <row r="275" spans="1:8" x14ac:dyDescent="0.25">
      <c r="A275" t="s">
        <v>555</v>
      </c>
      <c r="B275" t="s">
        <v>145</v>
      </c>
      <c r="C275" t="s">
        <v>426</v>
      </c>
      <c r="D275">
        <v>-17.200000000000003</v>
      </c>
      <c r="E275">
        <f t="shared" si="12"/>
        <v>273.5</v>
      </c>
      <c r="F275" s="12" t="b">
        <f t="shared" si="13"/>
        <v>1</v>
      </c>
      <c r="G275">
        <f>IF(F275,COUNTIFS(F$2:F275,TRUE),"")</f>
        <v>251</v>
      </c>
      <c r="H275" t="str">
        <f t="shared" si="14"/>
        <v>Mid 20</v>
      </c>
    </row>
    <row r="276" spans="1:8" x14ac:dyDescent="0.25">
      <c r="A276" t="s">
        <v>603</v>
      </c>
      <c r="B276" t="s">
        <v>153</v>
      </c>
      <c r="C276" t="s">
        <v>426</v>
      </c>
      <c r="D276">
        <v>-18</v>
      </c>
      <c r="E276">
        <f t="shared" si="12"/>
        <v>275</v>
      </c>
      <c r="F276" s="12" t="b">
        <f t="shared" si="13"/>
        <v>1</v>
      </c>
      <c r="G276">
        <f>IF(F276,COUNTIFS(F$2:F276,TRUE),"")</f>
        <v>252</v>
      </c>
      <c r="H276" t="str">
        <f t="shared" si="14"/>
        <v>Mid 20</v>
      </c>
    </row>
    <row r="277" spans="1:8" x14ac:dyDescent="0.25">
      <c r="A277" t="s">
        <v>141</v>
      </c>
      <c r="B277" t="s">
        <v>139</v>
      </c>
      <c r="C277" t="s">
        <v>135</v>
      </c>
      <c r="D277">
        <v>-18.900000000000006</v>
      </c>
      <c r="E277">
        <f t="shared" si="12"/>
        <v>276</v>
      </c>
      <c r="F277" s="12" t="b">
        <f t="shared" si="13"/>
        <v>1</v>
      </c>
      <c r="G277">
        <f>IF(F277,COUNTIFS(F$2:F277,TRUE),"")</f>
        <v>253</v>
      </c>
      <c r="H277" t="str">
        <f t="shared" si="14"/>
        <v>Late 20</v>
      </c>
    </row>
    <row r="278" spans="1:8" x14ac:dyDescent="0.25">
      <c r="A278" t="s">
        <v>617</v>
      </c>
      <c r="B278" t="s">
        <v>158</v>
      </c>
      <c r="C278" t="s">
        <v>421</v>
      </c>
      <c r="D278">
        <v>-19.800000000000011</v>
      </c>
      <c r="E278">
        <f t="shared" si="12"/>
        <v>277</v>
      </c>
      <c r="F278" s="12" t="b">
        <f t="shared" si="13"/>
        <v>1</v>
      </c>
      <c r="G278">
        <f>IF(F278,COUNTIFS(F$2:F278,TRUE),"")</f>
        <v>254</v>
      </c>
      <c r="H278" t="str">
        <f t="shared" si="14"/>
        <v>Late 20</v>
      </c>
    </row>
    <row r="279" spans="1:8" x14ac:dyDescent="0.25">
      <c r="A279" t="s">
        <v>901</v>
      </c>
      <c r="B279" t="s">
        <v>160</v>
      </c>
      <c r="C279" t="s">
        <v>783</v>
      </c>
      <c r="D279">
        <v>-20</v>
      </c>
      <c r="E279">
        <f t="shared" si="12"/>
        <v>278</v>
      </c>
      <c r="F279" s="12" t="b">
        <f t="shared" si="13"/>
        <v>1</v>
      </c>
      <c r="G279">
        <f>IF(F279,COUNTIFS(F$2:F279,TRUE),"")</f>
        <v>255</v>
      </c>
      <c r="H279" t="str">
        <f t="shared" si="14"/>
        <v>Late 20</v>
      </c>
    </row>
    <row r="280" spans="1:8" x14ac:dyDescent="0.25">
      <c r="A280" t="s">
        <v>194</v>
      </c>
      <c r="B280" t="s">
        <v>139</v>
      </c>
      <c r="C280" t="s">
        <v>172</v>
      </c>
      <c r="D280">
        <v>-20.099999999999994</v>
      </c>
      <c r="E280">
        <f t="shared" si="12"/>
        <v>279</v>
      </c>
      <c r="F280" s="12" t="b">
        <f t="shared" si="13"/>
        <v>1</v>
      </c>
      <c r="G280">
        <f>IF(F280,COUNTIFS(F$2:F280,TRUE),"")</f>
        <v>256</v>
      </c>
      <c r="H280" t="str">
        <f t="shared" si="14"/>
        <v>Late 20</v>
      </c>
    </row>
    <row r="281" spans="1:8" x14ac:dyDescent="0.25">
      <c r="A281" t="s">
        <v>152</v>
      </c>
      <c r="B281" t="s">
        <v>153</v>
      </c>
      <c r="C281" t="s">
        <v>135</v>
      </c>
      <c r="D281">
        <v>-20.700000000000003</v>
      </c>
      <c r="E281">
        <f t="shared" si="12"/>
        <v>280</v>
      </c>
      <c r="F281" s="12" t="b">
        <f t="shared" si="13"/>
        <v>1</v>
      </c>
      <c r="G281">
        <f>IF(F281,COUNTIFS(F$2:F281,TRUE),"")</f>
        <v>257</v>
      </c>
      <c r="H281" t="str">
        <f t="shared" si="14"/>
        <v>Late 20</v>
      </c>
    </row>
    <row r="282" spans="1:8" x14ac:dyDescent="0.25">
      <c r="A282" t="s">
        <v>825</v>
      </c>
      <c r="B282" t="s">
        <v>145</v>
      </c>
      <c r="C282" t="s">
        <v>768</v>
      </c>
      <c r="D282">
        <v>-21.400000000000006</v>
      </c>
      <c r="E282">
        <f t="shared" si="12"/>
        <v>281</v>
      </c>
      <c r="F282" s="12" t="b">
        <f t="shared" si="13"/>
        <v>1</v>
      </c>
      <c r="G282">
        <f>IF(F282,COUNTIFS(F$2:F282,TRUE),"")</f>
        <v>258</v>
      </c>
      <c r="H282" t="str">
        <f t="shared" si="14"/>
        <v>Early 21</v>
      </c>
    </row>
    <row r="283" spans="1:8" x14ac:dyDescent="0.25">
      <c r="A283" t="s">
        <v>692</v>
      </c>
      <c r="B283" t="s">
        <v>145</v>
      </c>
      <c r="C283" t="s">
        <v>631</v>
      </c>
      <c r="D283">
        <v>-22.200000000000003</v>
      </c>
      <c r="E283">
        <f t="shared" si="12"/>
        <v>282</v>
      </c>
      <c r="F283" s="12" t="b">
        <f t="shared" si="13"/>
        <v>1</v>
      </c>
      <c r="G283">
        <f>IF(F283,COUNTIFS(F$2:F283,TRUE),"")</f>
        <v>259</v>
      </c>
      <c r="H283" t="str">
        <f t="shared" si="14"/>
        <v>Early 21</v>
      </c>
    </row>
    <row r="284" spans="1:8" x14ac:dyDescent="0.25">
      <c r="A284" s="11" t="s">
        <v>463</v>
      </c>
      <c r="B284" s="11" t="s">
        <v>139</v>
      </c>
      <c r="C284" s="11" t="s">
        <v>411</v>
      </c>
      <c r="D284" s="11">
        <v>-22.299999999999997</v>
      </c>
      <c r="E284" s="11">
        <f t="shared" si="12"/>
        <v>283</v>
      </c>
      <c r="F284" s="12" t="b">
        <f t="shared" si="13"/>
        <v>1</v>
      </c>
      <c r="G284">
        <f>IF(F284,COUNTIFS(F$2:F284,TRUE),"")</f>
        <v>260</v>
      </c>
      <c r="H284" t="str">
        <f t="shared" si="14"/>
        <v>Early 21</v>
      </c>
    </row>
    <row r="285" spans="1:8" x14ac:dyDescent="0.25">
      <c r="A285" t="s">
        <v>758</v>
      </c>
      <c r="B285" t="s">
        <v>158</v>
      </c>
      <c r="C285" t="s">
        <v>107</v>
      </c>
      <c r="D285">
        <v>-22.5</v>
      </c>
      <c r="E285">
        <f t="shared" si="12"/>
        <v>284</v>
      </c>
      <c r="F285" s="12" t="b">
        <f t="shared" si="13"/>
        <v>1</v>
      </c>
      <c r="G285">
        <f>IF(F285,COUNTIFS(F$2:F285,TRUE),"")</f>
        <v>261</v>
      </c>
      <c r="H285" t="str">
        <f t="shared" si="14"/>
        <v>Early 21</v>
      </c>
    </row>
    <row r="286" spans="1:8" x14ac:dyDescent="0.25">
      <c r="A286" t="s">
        <v>577</v>
      </c>
      <c r="B286" t="s">
        <v>153</v>
      </c>
      <c r="C286" t="s">
        <v>400</v>
      </c>
      <c r="D286">
        <v>-22.799999999999997</v>
      </c>
      <c r="E286">
        <f t="shared" si="12"/>
        <v>285</v>
      </c>
      <c r="F286" s="12" t="b">
        <f t="shared" si="13"/>
        <v>1</v>
      </c>
      <c r="G286">
        <f>IF(F286,COUNTIFS(F$2:F286,TRUE),"")</f>
        <v>262</v>
      </c>
      <c r="H286" t="str">
        <f t="shared" si="14"/>
        <v>Early 21</v>
      </c>
    </row>
    <row r="287" spans="1:8" x14ac:dyDescent="0.25">
      <c r="A287" t="s">
        <v>522</v>
      </c>
      <c r="B287" t="s">
        <v>145</v>
      </c>
      <c r="C287" t="s">
        <v>408</v>
      </c>
      <c r="D287">
        <v>-22.800000000000011</v>
      </c>
      <c r="E287">
        <f t="shared" si="12"/>
        <v>286</v>
      </c>
      <c r="F287" s="12" t="b">
        <f t="shared" si="13"/>
        <v>1</v>
      </c>
      <c r="G287">
        <f>IF(F287,COUNTIFS(F$2:F287,TRUE),"")</f>
        <v>263</v>
      </c>
      <c r="H287" t="str">
        <f t="shared" si="14"/>
        <v>Mid 21</v>
      </c>
    </row>
    <row r="288" spans="1:8" x14ac:dyDescent="0.25">
      <c r="A288" t="s">
        <v>895</v>
      </c>
      <c r="B288" t="s">
        <v>158</v>
      </c>
      <c r="C288" t="s">
        <v>783</v>
      </c>
      <c r="D288">
        <v>-23.900000000000006</v>
      </c>
      <c r="E288">
        <f t="shared" si="12"/>
        <v>287</v>
      </c>
      <c r="F288" s="12" t="b">
        <f t="shared" si="13"/>
        <v>1</v>
      </c>
      <c r="G288">
        <f>IF(F288,COUNTIFS(F$2:F288,TRUE),"")</f>
        <v>264</v>
      </c>
      <c r="H288" t="str">
        <f t="shared" si="14"/>
        <v>Mid 21</v>
      </c>
    </row>
    <row r="289" spans="1:8" x14ac:dyDescent="0.25">
      <c r="A289" t="s">
        <v>504</v>
      </c>
      <c r="B289" t="s">
        <v>145</v>
      </c>
      <c r="C289" t="s">
        <v>397</v>
      </c>
      <c r="D289">
        <v>-24.099999999999994</v>
      </c>
      <c r="E289">
        <f t="shared" si="12"/>
        <v>288.5</v>
      </c>
      <c r="F289" s="12" t="b">
        <f t="shared" si="13"/>
        <v>1</v>
      </c>
      <c r="G289">
        <f>IF(F289,COUNTIFS(F$2:F289,TRUE),"")</f>
        <v>265</v>
      </c>
      <c r="H289" t="str">
        <f t="shared" si="14"/>
        <v>Mid 21</v>
      </c>
    </row>
    <row r="290" spans="1:8" x14ac:dyDescent="0.25">
      <c r="A290" t="s">
        <v>374</v>
      </c>
      <c r="B290" t="s">
        <v>153</v>
      </c>
      <c r="C290" t="s">
        <v>288</v>
      </c>
      <c r="D290">
        <v>-24.099999999999994</v>
      </c>
      <c r="E290">
        <f t="shared" si="12"/>
        <v>288.5</v>
      </c>
      <c r="F290" s="12" t="b">
        <f t="shared" si="13"/>
        <v>1</v>
      </c>
      <c r="G290">
        <f>IF(F290,COUNTIFS(F$2:F290,TRUE),"")</f>
        <v>266</v>
      </c>
      <c r="H290" t="str">
        <f t="shared" si="14"/>
        <v>Mid 21</v>
      </c>
    </row>
    <row r="291" spans="1:8" x14ac:dyDescent="0.25">
      <c r="A291" s="13" t="s">
        <v>661</v>
      </c>
      <c r="B291" t="s">
        <v>139</v>
      </c>
      <c r="C291" t="s">
        <v>635</v>
      </c>
      <c r="D291">
        <v>-24.299999999999997</v>
      </c>
      <c r="E291">
        <f t="shared" si="12"/>
        <v>290</v>
      </c>
      <c r="F291" s="12" t="b">
        <f t="shared" si="13"/>
        <v>1</v>
      </c>
      <c r="G291">
        <f>IF(F291,COUNTIFS(F$2:F291,TRUE),"")</f>
        <v>267</v>
      </c>
      <c r="H291" t="str">
        <f t="shared" si="14"/>
        <v>Late 21</v>
      </c>
    </row>
    <row r="292" spans="1:8" x14ac:dyDescent="0.25">
      <c r="A292" t="s">
        <v>876</v>
      </c>
      <c r="B292" t="s">
        <v>153</v>
      </c>
      <c r="C292" t="s">
        <v>774</v>
      </c>
      <c r="D292">
        <v>-25</v>
      </c>
      <c r="E292">
        <f t="shared" si="12"/>
        <v>291</v>
      </c>
      <c r="F292" s="12" t="b">
        <f t="shared" si="13"/>
        <v>1</v>
      </c>
      <c r="G292">
        <f>IF(F292,COUNTIFS(F$2:F292,TRUE),"")</f>
        <v>268</v>
      </c>
      <c r="H292" t="str">
        <f t="shared" si="14"/>
        <v>Late 21</v>
      </c>
    </row>
    <row r="293" spans="1:8" x14ac:dyDescent="0.25">
      <c r="A293" t="s">
        <v>297</v>
      </c>
      <c r="B293" t="s">
        <v>139</v>
      </c>
      <c r="C293" t="s">
        <v>273</v>
      </c>
      <c r="D293">
        <v>-25.599999999999994</v>
      </c>
      <c r="E293">
        <f t="shared" si="12"/>
        <v>292</v>
      </c>
      <c r="F293" s="12" t="b">
        <f t="shared" si="13"/>
        <v>1</v>
      </c>
      <c r="G293">
        <f>IF(F293,COUNTIFS(F$2:F293,TRUE),"")</f>
        <v>269</v>
      </c>
      <c r="H293" t="str">
        <f t="shared" si="14"/>
        <v>Late 21</v>
      </c>
    </row>
    <row r="294" spans="1:8" x14ac:dyDescent="0.25">
      <c r="A294" t="s">
        <v>154</v>
      </c>
      <c r="B294" t="s">
        <v>153</v>
      </c>
      <c r="C294" t="s">
        <v>135</v>
      </c>
      <c r="D294">
        <v>-25.799999999999997</v>
      </c>
      <c r="E294">
        <f t="shared" si="12"/>
        <v>293</v>
      </c>
      <c r="F294" s="12" t="b">
        <f t="shared" si="13"/>
        <v>1</v>
      </c>
      <c r="G294">
        <f>IF(F294,COUNTIFS(F$2:F294,TRUE),"")</f>
        <v>270</v>
      </c>
      <c r="H294" t="str">
        <f t="shared" si="14"/>
        <v>Late 21</v>
      </c>
    </row>
    <row r="295" spans="1:8" x14ac:dyDescent="0.25">
      <c r="A295" t="s">
        <v>748</v>
      </c>
      <c r="B295" t="s">
        <v>153</v>
      </c>
      <c r="C295" t="s">
        <v>648</v>
      </c>
      <c r="D295">
        <v>-25.900000000000006</v>
      </c>
      <c r="E295">
        <f t="shared" si="12"/>
        <v>294</v>
      </c>
      <c r="F295" s="12" t="b">
        <f t="shared" si="13"/>
        <v>1</v>
      </c>
      <c r="G295">
        <f>IF(F295,COUNTIFS(F$2:F295,TRUE),"")</f>
        <v>271</v>
      </c>
      <c r="H295" t="str">
        <f t="shared" si="14"/>
        <v>Late 21</v>
      </c>
    </row>
    <row r="296" spans="1:8" x14ac:dyDescent="0.25">
      <c r="A296" t="s">
        <v>761</v>
      </c>
      <c r="B296" t="s">
        <v>160</v>
      </c>
      <c r="C296" t="s">
        <v>631</v>
      </c>
      <c r="D296">
        <v>-26</v>
      </c>
      <c r="E296">
        <f t="shared" si="12"/>
        <v>295</v>
      </c>
      <c r="F296" s="12" t="b">
        <f t="shared" si="13"/>
        <v>1</v>
      </c>
      <c r="G296">
        <f>IF(F296,COUNTIFS(F$2:F296,TRUE),"")</f>
        <v>272</v>
      </c>
      <c r="H296" t="str">
        <f t="shared" si="14"/>
        <v>Early 22</v>
      </c>
    </row>
    <row r="297" spans="1:8" x14ac:dyDescent="0.25">
      <c r="A297" t="s">
        <v>523</v>
      </c>
      <c r="B297" t="s">
        <v>145</v>
      </c>
      <c r="C297" t="s">
        <v>408</v>
      </c>
      <c r="D297">
        <v>-26.100000000000009</v>
      </c>
      <c r="E297">
        <f t="shared" si="12"/>
        <v>296</v>
      </c>
      <c r="F297" s="12" t="b">
        <f t="shared" si="13"/>
        <v>1</v>
      </c>
      <c r="G297">
        <f>IF(F297,COUNTIFS(F$2:F297,TRUE),"")</f>
        <v>273</v>
      </c>
      <c r="H297" t="str">
        <f t="shared" si="14"/>
        <v>Early 22</v>
      </c>
    </row>
    <row r="298" spans="1:8" x14ac:dyDescent="0.25">
      <c r="A298" t="s">
        <v>717</v>
      </c>
      <c r="B298" t="s">
        <v>145</v>
      </c>
      <c r="C298" t="s">
        <v>107</v>
      </c>
      <c r="D298">
        <v>-26.200000000000003</v>
      </c>
      <c r="E298">
        <f t="shared" si="12"/>
        <v>297</v>
      </c>
      <c r="F298" s="12" t="b">
        <f t="shared" si="13"/>
        <v>1</v>
      </c>
      <c r="G298">
        <f>IF(F298,COUNTIFS(F$2:F298,TRUE),"")</f>
        <v>274</v>
      </c>
      <c r="H298" t="str">
        <f t="shared" si="14"/>
        <v>Early 22</v>
      </c>
    </row>
    <row r="299" spans="1:8" x14ac:dyDescent="0.25">
      <c r="A299" t="s">
        <v>429</v>
      </c>
      <c r="B299" t="s">
        <v>116</v>
      </c>
      <c r="C299" t="s">
        <v>430</v>
      </c>
      <c r="D299">
        <v>-26.480000000000018</v>
      </c>
      <c r="E299">
        <f t="shared" si="12"/>
        <v>298</v>
      </c>
      <c r="F299" s="12" t="b">
        <f t="shared" si="13"/>
        <v>1</v>
      </c>
      <c r="G299">
        <f>IF(F299,COUNTIFS(F$2:F299,TRUE),"")</f>
        <v>275</v>
      </c>
      <c r="H299" t="str">
        <f t="shared" si="14"/>
        <v>Early 22</v>
      </c>
    </row>
    <row r="300" spans="1:8" x14ac:dyDescent="0.25">
      <c r="A300" t="s">
        <v>899</v>
      </c>
      <c r="B300" t="s">
        <v>160</v>
      </c>
      <c r="C300" t="s">
        <v>774</v>
      </c>
      <c r="D300">
        <v>-27</v>
      </c>
      <c r="E300">
        <f t="shared" si="12"/>
        <v>299</v>
      </c>
      <c r="F300" s="12" t="b">
        <f t="shared" si="13"/>
        <v>1</v>
      </c>
      <c r="G300">
        <f>IF(F300,COUNTIFS(F$2:F300,TRUE),"")</f>
        <v>276</v>
      </c>
      <c r="H300" t="str">
        <f t="shared" si="14"/>
        <v>Early 22</v>
      </c>
    </row>
    <row r="301" spans="1:8" x14ac:dyDescent="0.25">
      <c r="A301" t="s">
        <v>341</v>
      </c>
      <c r="B301" t="s">
        <v>145</v>
      </c>
      <c r="C301" t="s">
        <v>283</v>
      </c>
      <c r="D301">
        <v>-27.400000000000006</v>
      </c>
      <c r="E301">
        <f t="shared" si="12"/>
        <v>300</v>
      </c>
      <c r="F301" s="12" t="b">
        <f t="shared" si="13"/>
        <v>1</v>
      </c>
      <c r="G301">
        <f>IF(F301,COUNTIFS(F$2:F301,TRUE),"")</f>
        <v>277</v>
      </c>
      <c r="H301" t="str">
        <f t="shared" si="14"/>
        <v>Mid 22</v>
      </c>
    </row>
    <row r="302" spans="1:8" x14ac:dyDescent="0.25">
      <c r="A302" t="s">
        <v>367</v>
      </c>
      <c r="B302" t="s">
        <v>153</v>
      </c>
      <c r="C302" t="s">
        <v>279</v>
      </c>
      <c r="D302">
        <v>-27.700000000000003</v>
      </c>
      <c r="E302">
        <f t="shared" si="12"/>
        <v>301.5</v>
      </c>
      <c r="F302" s="12" t="b">
        <f t="shared" si="13"/>
        <v>1</v>
      </c>
      <c r="G302">
        <f>IF(F302,COUNTIFS(F$2:F302,TRUE),"")</f>
        <v>278</v>
      </c>
      <c r="H302" t="str">
        <f t="shared" si="14"/>
        <v>Mid 22</v>
      </c>
    </row>
    <row r="303" spans="1:8" x14ac:dyDescent="0.25">
      <c r="A303" t="s">
        <v>368</v>
      </c>
      <c r="B303" t="s">
        <v>153</v>
      </c>
      <c r="C303" t="s">
        <v>279</v>
      </c>
      <c r="D303">
        <v>-27.700000000000003</v>
      </c>
      <c r="E303">
        <f t="shared" si="12"/>
        <v>301.5</v>
      </c>
      <c r="F303" s="12" t="b">
        <f t="shared" si="13"/>
        <v>1</v>
      </c>
      <c r="G303">
        <f>IF(F303,COUNTIFS(F$2:F303,TRUE),"")</f>
        <v>279</v>
      </c>
      <c r="H303" t="str">
        <f t="shared" si="14"/>
        <v>Mid 22</v>
      </c>
    </row>
    <row r="304" spans="1:8" x14ac:dyDescent="0.25">
      <c r="A304" t="s">
        <v>476</v>
      </c>
      <c r="B304" t="s">
        <v>139</v>
      </c>
      <c r="C304" t="s">
        <v>421</v>
      </c>
      <c r="D304">
        <v>-27.800000000000011</v>
      </c>
      <c r="E304">
        <f t="shared" si="12"/>
        <v>303</v>
      </c>
      <c r="F304" s="12" t="b">
        <f t="shared" si="13"/>
        <v>1</v>
      </c>
      <c r="G304">
        <f>IF(F304,COUNTIFS(F$2:F304,TRUE),"")</f>
        <v>280</v>
      </c>
      <c r="H304" t="str">
        <f t="shared" si="14"/>
        <v>Mid 22</v>
      </c>
    </row>
    <row r="305" spans="1:8" x14ac:dyDescent="0.25">
      <c r="A305" t="s">
        <v>540</v>
      </c>
      <c r="B305" t="s">
        <v>145</v>
      </c>
      <c r="C305" t="s">
        <v>417</v>
      </c>
      <c r="D305">
        <v>-28.200000000000003</v>
      </c>
      <c r="E305">
        <f t="shared" si="12"/>
        <v>304.5</v>
      </c>
      <c r="F305" s="12" t="b">
        <f t="shared" si="13"/>
        <v>1</v>
      </c>
      <c r="G305">
        <f>IF(F305,COUNTIFS(F$2:F305,TRUE),"")</f>
        <v>281</v>
      </c>
      <c r="H305" t="str">
        <f t="shared" si="14"/>
        <v>Late 22</v>
      </c>
    </row>
    <row r="306" spans="1:8" x14ac:dyDescent="0.25">
      <c r="A306" t="s">
        <v>585</v>
      </c>
      <c r="B306" t="s">
        <v>153</v>
      </c>
      <c r="C306" t="s">
        <v>408</v>
      </c>
      <c r="D306">
        <v>-28.200000000000003</v>
      </c>
      <c r="E306">
        <f t="shared" si="12"/>
        <v>304.5</v>
      </c>
      <c r="F306" s="12" t="b">
        <f t="shared" si="13"/>
        <v>1</v>
      </c>
      <c r="G306">
        <f>IF(F306,COUNTIFS(F$2:F306,TRUE),"")</f>
        <v>282</v>
      </c>
      <c r="H306" t="str">
        <f t="shared" si="14"/>
        <v>Late 22</v>
      </c>
    </row>
    <row r="307" spans="1:8" x14ac:dyDescent="0.25">
      <c r="A307" t="s">
        <v>148</v>
      </c>
      <c r="B307" t="s">
        <v>145</v>
      </c>
      <c r="C307" t="s">
        <v>135</v>
      </c>
      <c r="D307">
        <v>-28.799999999999997</v>
      </c>
      <c r="E307">
        <f t="shared" si="12"/>
        <v>306</v>
      </c>
      <c r="F307" s="12" t="b">
        <f t="shared" si="13"/>
        <v>1</v>
      </c>
      <c r="G307">
        <f>IF(F307,COUNTIFS(F$2:F307,TRUE),"")</f>
        <v>283</v>
      </c>
      <c r="H307" t="str">
        <f t="shared" si="14"/>
        <v>Late 22</v>
      </c>
    </row>
    <row r="308" spans="1:8" x14ac:dyDescent="0.25">
      <c r="A308" s="11" t="s">
        <v>399</v>
      </c>
      <c r="B308" s="11" t="s">
        <v>116</v>
      </c>
      <c r="C308" s="11" t="s">
        <v>400</v>
      </c>
      <c r="D308" s="11">
        <v>-29.139999999999986</v>
      </c>
      <c r="E308" s="11">
        <f t="shared" si="12"/>
        <v>307</v>
      </c>
      <c r="F308" s="12" t="b">
        <f t="shared" si="13"/>
        <v>0</v>
      </c>
      <c r="G308" t="str">
        <f>IF(F308,COUNTIFS(F$2:F308,TRUE),"")</f>
        <v/>
      </c>
      <c r="H308" t="str">
        <f t="shared" si="14"/>
        <v>Late 22</v>
      </c>
    </row>
    <row r="309" spans="1:8" x14ac:dyDescent="0.25">
      <c r="A309" t="s">
        <v>376</v>
      </c>
      <c r="B309" t="s">
        <v>153</v>
      </c>
      <c r="C309" t="s">
        <v>292</v>
      </c>
      <c r="D309">
        <v>-29.200000000000003</v>
      </c>
      <c r="E309">
        <f t="shared" si="12"/>
        <v>308</v>
      </c>
      <c r="F309" s="12" t="b">
        <f t="shared" si="13"/>
        <v>1</v>
      </c>
      <c r="G309">
        <f>IF(F309,COUNTIFS(F$2:F309,TRUE),"")</f>
        <v>284</v>
      </c>
      <c r="H309" t="str">
        <f t="shared" si="14"/>
        <v>Late 22</v>
      </c>
    </row>
    <row r="310" spans="1:8" x14ac:dyDescent="0.25">
      <c r="A310" t="s">
        <v>471</v>
      </c>
      <c r="B310" t="s">
        <v>139</v>
      </c>
      <c r="C310" t="s">
        <v>417</v>
      </c>
      <c r="D310">
        <v>-29.299999999999997</v>
      </c>
      <c r="E310">
        <f t="shared" si="12"/>
        <v>309.5</v>
      </c>
      <c r="F310" s="12" t="b">
        <f t="shared" si="13"/>
        <v>1</v>
      </c>
      <c r="G310">
        <f>IF(F310,COUNTIFS(F$2:F310,TRUE),"")</f>
        <v>285</v>
      </c>
      <c r="H310" t="str">
        <f t="shared" si="14"/>
        <v>Early 23</v>
      </c>
    </row>
    <row r="311" spans="1:8" x14ac:dyDescent="0.25">
      <c r="A311" t="s">
        <v>812</v>
      </c>
      <c r="B311" t="s">
        <v>139</v>
      </c>
      <c r="C311" t="s">
        <v>783</v>
      </c>
      <c r="D311">
        <v>-29.299999999999997</v>
      </c>
      <c r="E311">
        <f t="shared" si="12"/>
        <v>309.5</v>
      </c>
      <c r="F311" s="12" t="b">
        <f t="shared" si="13"/>
        <v>1</v>
      </c>
      <c r="G311">
        <f>IF(F311,COUNTIFS(F$2:F311,TRUE),"")</f>
        <v>286</v>
      </c>
      <c r="H311" t="str">
        <f t="shared" si="14"/>
        <v>Early 23</v>
      </c>
    </row>
    <row r="312" spans="1:8" x14ac:dyDescent="0.25">
      <c r="A312" t="s">
        <v>464</v>
      </c>
      <c r="B312" t="s">
        <v>139</v>
      </c>
      <c r="C312" t="s">
        <v>411</v>
      </c>
      <c r="D312">
        <v>-29.799999999999997</v>
      </c>
      <c r="E312">
        <f t="shared" si="12"/>
        <v>311</v>
      </c>
      <c r="F312" s="12" t="b">
        <f t="shared" si="13"/>
        <v>1</v>
      </c>
      <c r="G312">
        <f>IF(F312,COUNTIFS(F$2:F312,TRUE),"")</f>
        <v>287</v>
      </c>
      <c r="H312" t="str">
        <f t="shared" si="14"/>
        <v>Early 23</v>
      </c>
    </row>
    <row r="313" spans="1:8" x14ac:dyDescent="0.25">
      <c r="A313" t="s">
        <v>204</v>
      </c>
      <c r="B313" t="s">
        <v>182</v>
      </c>
      <c r="C313" t="s">
        <v>176</v>
      </c>
      <c r="D313">
        <v>-30.099999999999994</v>
      </c>
      <c r="E313">
        <f t="shared" si="12"/>
        <v>312</v>
      </c>
      <c r="F313" s="12" t="b">
        <f t="shared" si="13"/>
        <v>1</v>
      </c>
      <c r="G313">
        <f>IF(F313,COUNTIFS(F$2:F313,TRUE),"")</f>
        <v>288</v>
      </c>
      <c r="H313" t="str">
        <f t="shared" si="14"/>
        <v>Early 23</v>
      </c>
    </row>
    <row r="314" spans="1:8" x14ac:dyDescent="0.25">
      <c r="A314" t="s">
        <v>866</v>
      </c>
      <c r="B314" t="s">
        <v>153</v>
      </c>
      <c r="C314" t="s">
        <v>768</v>
      </c>
      <c r="D314">
        <v>-30.200000000000003</v>
      </c>
      <c r="E314">
        <f t="shared" si="12"/>
        <v>313</v>
      </c>
      <c r="F314" s="12" t="b">
        <f t="shared" si="13"/>
        <v>1</v>
      </c>
      <c r="G314">
        <f>IF(F314,COUNTIFS(F$2:F314,TRUE),"")</f>
        <v>289</v>
      </c>
      <c r="H314" t="str">
        <f t="shared" si="14"/>
        <v>Early 23</v>
      </c>
    </row>
    <row r="315" spans="1:8" x14ac:dyDescent="0.25">
      <c r="A315" t="s">
        <v>241</v>
      </c>
      <c r="B315" t="s">
        <v>145</v>
      </c>
      <c r="C315" t="s">
        <v>176</v>
      </c>
      <c r="D315">
        <v>-30.399999999999991</v>
      </c>
      <c r="E315">
        <f t="shared" si="12"/>
        <v>314</v>
      </c>
      <c r="F315" s="12" t="b">
        <f t="shared" si="13"/>
        <v>1</v>
      </c>
      <c r="G315">
        <f>IF(F315,COUNTIFS(F$2:F315,TRUE),"")</f>
        <v>290</v>
      </c>
      <c r="H315" t="str">
        <f t="shared" si="14"/>
        <v>Mid 23</v>
      </c>
    </row>
    <row r="316" spans="1:8" x14ac:dyDescent="0.25">
      <c r="A316" t="s">
        <v>257</v>
      </c>
      <c r="B316" t="s">
        <v>153</v>
      </c>
      <c r="C316" t="s">
        <v>172</v>
      </c>
      <c r="D316">
        <v>-30.900000000000006</v>
      </c>
      <c r="E316">
        <f t="shared" si="12"/>
        <v>315</v>
      </c>
      <c r="F316" s="12" t="b">
        <f t="shared" si="13"/>
        <v>1</v>
      </c>
      <c r="G316">
        <f>IF(F316,COUNTIFS(F$2:F316,TRUE),"")</f>
        <v>291</v>
      </c>
      <c r="H316" t="str">
        <f t="shared" si="14"/>
        <v>Mid 23</v>
      </c>
    </row>
    <row r="317" spans="1:8" x14ac:dyDescent="0.25">
      <c r="A317" t="s">
        <v>389</v>
      </c>
      <c r="B317" t="s">
        <v>160</v>
      </c>
      <c r="C317" t="s">
        <v>283</v>
      </c>
      <c r="D317">
        <v>-31</v>
      </c>
      <c r="E317">
        <f t="shared" si="12"/>
        <v>316</v>
      </c>
      <c r="F317" s="12" t="b">
        <f t="shared" si="13"/>
        <v>1</v>
      </c>
      <c r="G317">
        <f>IF(F317,COUNTIFS(F$2:F317,TRUE),"")</f>
        <v>292</v>
      </c>
      <c r="H317" t="str">
        <f t="shared" si="14"/>
        <v>Mid 23</v>
      </c>
    </row>
    <row r="318" spans="1:8" x14ac:dyDescent="0.25">
      <c r="A318" t="s">
        <v>683</v>
      </c>
      <c r="B318" t="s">
        <v>139</v>
      </c>
      <c r="C318" t="s">
        <v>107</v>
      </c>
      <c r="D318">
        <v>-31.200000000000003</v>
      </c>
      <c r="E318">
        <f t="shared" si="12"/>
        <v>317</v>
      </c>
      <c r="F318" s="12" t="b">
        <f t="shared" si="13"/>
        <v>1</v>
      </c>
      <c r="G318">
        <f>IF(F318,COUNTIFS(F$2:F318,TRUE),"")</f>
        <v>293</v>
      </c>
      <c r="H318" t="str">
        <f t="shared" si="14"/>
        <v>Mid 23</v>
      </c>
    </row>
    <row r="319" spans="1:8" x14ac:dyDescent="0.25">
      <c r="A319" t="s">
        <v>588</v>
      </c>
      <c r="B319" t="s">
        <v>153</v>
      </c>
      <c r="C319" t="s">
        <v>411</v>
      </c>
      <c r="D319">
        <v>-31.700000000000003</v>
      </c>
      <c r="E319">
        <f t="shared" si="12"/>
        <v>318</v>
      </c>
      <c r="F319" s="12" t="b">
        <f t="shared" si="13"/>
        <v>1</v>
      </c>
      <c r="G319">
        <f>IF(F319,COUNTIFS(F$2:F319,TRUE),"")</f>
        <v>294</v>
      </c>
      <c r="H319" t="str">
        <f t="shared" si="14"/>
        <v>Late 23</v>
      </c>
    </row>
    <row r="320" spans="1:8" x14ac:dyDescent="0.25">
      <c r="A320" t="s">
        <v>704</v>
      </c>
      <c r="B320" t="s">
        <v>145</v>
      </c>
      <c r="C320" t="s">
        <v>639</v>
      </c>
      <c r="D320">
        <v>-32.200000000000003</v>
      </c>
      <c r="E320">
        <f t="shared" si="12"/>
        <v>319</v>
      </c>
      <c r="F320" s="12" t="b">
        <f t="shared" si="13"/>
        <v>1</v>
      </c>
      <c r="G320">
        <f>IF(F320,COUNTIFS(F$2:F320,TRUE),"")</f>
        <v>295</v>
      </c>
      <c r="H320" t="str">
        <f t="shared" si="14"/>
        <v>Late 23</v>
      </c>
    </row>
    <row r="321" spans="1:8" x14ac:dyDescent="0.25">
      <c r="A321" t="s">
        <v>548</v>
      </c>
      <c r="B321" t="s">
        <v>145</v>
      </c>
      <c r="C321" t="s">
        <v>421</v>
      </c>
      <c r="D321">
        <v>-32.299999999999997</v>
      </c>
      <c r="E321">
        <f t="shared" si="12"/>
        <v>320</v>
      </c>
      <c r="F321" s="12" t="b">
        <f t="shared" si="13"/>
        <v>1</v>
      </c>
      <c r="G321">
        <f>IF(F321,COUNTIFS(F$2:F321,TRUE),"")</f>
        <v>296</v>
      </c>
      <c r="H321" t="str">
        <f t="shared" si="14"/>
        <v>Late 23</v>
      </c>
    </row>
    <row r="322" spans="1:8" x14ac:dyDescent="0.25">
      <c r="A322" t="s">
        <v>604</v>
      </c>
      <c r="B322" t="s">
        <v>153</v>
      </c>
      <c r="C322" t="s">
        <v>426</v>
      </c>
      <c r="D322">
        <v>-32.4</v>
      </c>
      <c r="E322">
        <f t="shared" ref="E322:E385" si="15">_xlfn.RANK.AVG(D322,$D$2:$D$738,0)</f>
        <v>321</v>
      </c>
      <c r="F322" s="12" t="b">
        <f t="shared" si="13"/>
        <v>1</v>
      </c>
      <c r="G322">
        <f>IF(F322,COUNTIFS(F$2:F322,TRUE),"")</f>
        <v>297</v>
      </c>
      <c r="H322" t="str">
        <f t="shared" si="14"/>
        <v>Late 23</v>
      </c>
    </row>
    <row r="323" spans="1:8" x14ac:dyDescent="0.25">
      <c r="A323" t="s">
        <v>505</v>
      </c>
      <c r="B323" t="s">
        <v>145</v>
      </c>
      <c r="C323" t="s">
        <v>397</v>
      </c>
      <c r="D323">
        <v>-32.6</v>
      </c>
      <c r="E323">
        <f t="shared" si="15"/>
        <v>322.5</v>
      </c>
      <c r="F323" s="12" t="b">
        <f t="shared" ref="F323:F386" si="16">color_fill(E323)</f>
        <v>1</v>
      </c>
      <c r="G323">
        <f>IF(F323,COUNTIFS(F$2:F323,TRUE),"")</f>
        <v>298</v>
      </c>
      <c r="H323" t="str">
        <f t="shared" ref="H323:H386" si="17">VLOOKUP(MOD(E323,14),$Q$2:$R$5,2,TRUE)&amp;" "&amp;_xlfn.CEILING.MATH((E323)/14)</f>
        <v>Late 24</v>
      </c>
    </row>
    <row r="324" spans="1:8" x14ac:dyDescent="0.25">
      <c r="A324" t="s">
        <v>882</v>
      </c>
      <c r="B324" t="s">
        <v>153</v>
      </c>
      <c r="C324" t="s">
        <v>783</v>
      </c>
      <c r="D324">
        <v>-32.6</v>
      </c>
      <c r="E324">
        <f t="shared" si="15"/>
        <v>322.5</v>
      </c>
      <c r="F324" s="12" t="b">
        <f t="shared" si="16"/>
        <v>1</v>
      </c>
      <c r="G324">
        <f>IF(F324,COUNTIFS(F$2:F324,TRUE),"")</f>
        <v>299</v>
      </c>
      <c r="H324" t="str">
        <f t="shared" si="17"/>
        <v>Late 24</v>
      </c>
    </row>
    <row r="325" spans="1:8" x14ac:dyDescent="0.25">
      <c r="A325" t="s">
        <v>511</v>
      </c>
      <c r="B325" t="s">
        <v>145</v>
      </c>
      <c r="C325" t="s">
        <v>400</v>
      </c>
      <c r="D325">
        <v>-32.700000000000003</v>
      </c>
      <c r="E325">
        <f t="shared" si="15"/>
        <v>324.5</v>
      </c>
      <c r="F325" s="12" t="b">
        <f t="shared" si="16"/>
        <v>1</v>
      </c>
      <c r="G325">
        <f>IF(F325,COUNTIFS(F$2:F325,TRUE),"")</f>
        <v>300</v>
      </c>
      <c r="H325" t="str">
        <f t="shared" si="17"/>
        <v>Early 24</v>
      </c>
    </row>
    <row r="326" spans="1:8" x14ac:dyDescent="0.25">
      <c r="A326" t="s">
        <v>363</v>
      </c>
      <c r="B326" t="s">
        <v>153</v>
      </c>
      <c r="C326" t="s">
        <v>273</v>
      </c>
      <c r="D326">
        <v>-32.700000000000003</v>
      </c>
      <c r="E326">
        <f t="shared" si="15"/>
        <v>324.5</v>
      </c>
      <c r="F326" s="12" t="b">
        <f t="shared" si="16"/>
        <v>1</v>
      </c>
      <c r="G326">
        <f>IF(F326,COUNTIFS(F$2:F326,TRUE),"")</f>
        <v>301</v>
      </c>
      <c r="H326" t="str">
        <f t="shared" si="17"/>
        <v>Early 24</v>
      </c>
    </row>
    <row r="327" spans="1:8" x14ac:dyDescent="0.25">
      <c r="A327" t="s">
        <v>258</v>
      </c>
      <c r="B327" t="s">
        <v>153</v>
      </c>
      <c r="C327" t="s">
        <v>172</v>
      </c>
      <c r="D327">
        <v>-33.1</v>
      </c>
      <c r="E327">
        <f t="shared" si="15"/>
        <v>326.5</v>
      </c>
      <c r="F327" s="12" t="b">
        <f t="shared" si="16"/>
        <v>1</v>
      </c>
      <c r="G327">
        <f>IF(F327,COUNTIFS(F$2:F327,TRUE),"")</f>
        <v>302</v>
      </c>
      <c r="H327" t="str">
        <f t="shared" si="17"/>
        <v>Early 24</v>
      </c>
    </row>
    <row r="328" spans="1:8" x14ac:dyDescent="0.25">
      <c r="A328" t="s">
        <v>736</v>
      </c>
      <c r="B328" t="s">
        <v>153</v>
      </c>
      <c r="C328" t="s">
        <v>639</v>
      </c>
      <c r="D328">
        <v>-33.1</v>
      </c>
      <c r="E328">
        <f t="shared" si="15"/>
        <v>326.5</v>
      </c>
      <c r="F328" s="12" t="b">
        <f t="shared" si="16"/>
        <v>1</v>
      </c>
      <c r="G328">
        <f>IF(F328,COUNTIFS(F$2:F328,TRUE),"")</f>
        <v>303</v>
      </c>
      <c r="H328" t="str">
        <f t="shared" si="17"/>
        <v>Early 24</v>
      </c>
    </row>
    <row r="329" spans="1:8" x14ac:dyDescent="0.25">
      <c r="A329" t="s">
        <v>445</v>
      </c>
      <c r="B329" t="s">
        <v>139</v>
      </c>
      <c r="C329" t="s">
        <v>400</v>
      </c>
      <c r="D329">
        <v>-33.300000000000004</v>
      </c>
      <c r="E329">
        <f t="shared" si="15"/>
        <v>328</v>
      </c>
      <c r="F329" s="12" t="b">
        <f t="shared" si="16"/>
        <v>1</v>
      </c>
      <c r="G329">
        <f>IF(F329,COUNTIFS(F$2:F329,TRUE),"")</f>
        <v>304</v>
      </c>
      <c r="H329" t="str">
        <f t="shared" si="17"/>
        <v>Mid 24</v>
      </c>
    </row>
    <row r="330" spans="1:8" x14ac:dyDescent="0.25">
      <c r="A330" t="s">
        <v>742</v>
      </c>
      <c r="B330" t="s">
        <v>153</v>
      </c>
      <c r="C330" t="s">
        <v>644</v>
      </c>
      <c r="D330">
        <v>-33.5</v>
      </c>
      <c r="E330">
        <f t="shared" si="15"/>
        <v>329</v>
      </c>
      <c r="F330" s="12" t="b">
        <f t="shared" si="16"/>
        <v>1</v>
      </c>
      <c r="G330">
        <f>IF(F330,COUNTIFS(F$2:F330,TRUE),"")</f>
        <v>305</v>
      </c>
      <c r="H330" t="str">
        <f t="shared" si="17"/>
        <v>Mid 24</v>
      </c>
    </row>
    <row r="331" spans="1:8" x14ac:dyDescent="0.25">
      <c r="A331" t="s">
        <v>261</v>
      </c>
      <c r="B331" t="s">
        <v>153</v>
      </c>
      <c r="C331" t="s">
        <v>176</v>
      </c>
      <c r="D331">
        <v>-33.799999999999997</v>
      </c>
      <c r="E331">
        <f t="shared" si="15"/>
        <v>330</v>
      </c>
      <c r="F331" s="12" t="b">
        <f t="shared" si="16"/>
        <v>1</v>
      </c>
      <c r="G331">
        <f>IF(F331,COUNTIFS(F$2:F331,TRUE),"")</f>
        <v>306</v>
      </c>
      <c r="H331" t="str">
        <f t="shared" si="17"/>
        <v>Mid 24</v>
      </c>
    </row>
    <row r="332" spans="1:8" x14ac:dyDescent="0.25">
      <c r="A332" t="s">
        <v>562</v>
      </c>
      <c r="B332" t="s">
        <v>145</v>
      </c>
      <c r="C332" t="s">
        <v>430</v>
      </c>
      <c r="D332">
        <v>-34</v>
      </c>
      <c r="E332">
        <f t="shared" si="15"/>
        <v>331</v>
      </c>
      <c r="F332" s="12" t="b">
        <f t="shared" si="16"/>
        <v>1</v>
      </c>
      <c r="G332">
        <f>IF(F332,COUNTIFS(F$2:F332,TRUE),"")</f>
        <v>307</v>
      </c>
      <c r="H332" t="str">
        <f t="shared" si="17"/>
        <v>Mid 24</v>
      </c>
    </row>
    <row r="333" spans="1:8" x14ac:dyDescent="0.25">
      <c r="A333" t="s">
        <v>446</v>
      </c>
      <c r="B333" t="s">
        <v>139</v>
      </c>
      <c r="C333" t="s">
        <v>400</v>
      </c>
      <c r="D333">
        <v>-34.200000000000003</v>
      </c>
      <c r="E333">
        <f t="shared" si="15"/>
        <v>332</v>
      </c>
      <c r="F333" s="12" t="b">
        <f t="shared" si="16"/>
        <v>1</v>
      </c>
      <c r="G333">
        <f>IF(F333,COUNTIFS(F$2:F333,TRUE),"")</f>
        <v>308</v>
      </c>
      <c r="H333" t="str">
        <f t="shared" si="17"/>
        <v>Late 24</v>
      </c>
    </row>
    <row r="334" spans="1:8" x14ac:dyDescent="0.25">
      <c r="A334" t="s">
        <v>568</v>
      </c>
      <c r="B334" t="s">
        <v>153</v>
      </c>
      <c r="C334" t="s">
        <v>393</v>
      </c>
      <c r="D334">
        <v>-34.299999999999997</v>
      </c>
      <c r="E334">
        <f t="shared" si="15"/>
        <v>333</v>
      </c>
      <c r="F334" s="12" t="b">
        <f t="shared" si="16"/>
        <v>1</v>
      </c>
      <c r="G334">
        <f>IF(F334,COUNTIFS(F$2:F334,TRUE),"")</f>
        <v>309</v>
      </c>
      <c r="H334" t="str">
        <f t="shared" si="17"/>
        <v>Late 24</v>
      </c>
    </row>
    <row r="335" spans="1:8" x14ac:dyDescent="0.25">
      <c r="A335" t="s">
        <v>453</v>
      </c>
      <c r="B335" t="s">
        <v>139</v>
      </c>
      <c r="C335" t="s">
        <v>404</v>
      </c>
      <c r="D335">
        <v>-34.4</v>
      </c>
      <c r="E335">
        <f t="shared" si="15"/>
        <v>334</v>
      </c>
      <c r="F335" s="12" t="b">
        <f t="shared" si="16"/>
        <v>1</v>
      </c>
      <c r="G335">
        <f>IF(F335,COUNTIFS(F$2:F335,TRUE),"")</f>
        <v>310</v>
      </c>
      <c r="H335" t="str">
        <f t="shared" si="17"/>
        <v>Late 24</v>
      </c>
    </row>
    <row r="336" spans="1:8" x14ac:dyDescent="0.25">
      <c r="A336" t="s">
        <v>249</v>
      </c>
      <c r="B336" t="s">
        <v>153</v>
      </c>
      <c r="C336" t="s">
        <v>162</v>
      </c>
      <c r="D336">
        <v>-34.6</v>
      </c>
      <c r="E336">
        <f t="shared" si="15"/>
        <v>335.5</v>
      </c>
      <c r="F336" s="12" t="b">
        <f t="shared" si="16"/>
        <v>1</v>
      </c>
      <c r="G336">
        <f>IF(F336,COUNTIFS(F$2:F336,TRUE),"")</f>
        <v>311</v>
      </c>
      <c r="H336" t="str">
        <f t="shared" si="17"/>
        <v>Late 24</v>
      </c>
    </row>
    <row r="337" spans="1:8" x14ac:dyDescent="0.25">
      <c r="A337" t="s">
        <v>251</v>
      </c>
      <c r="B337" t="s">
        <v>153</v>
      </c>
      <c r="C337" t="s">
        <v>167</v>
      </c>
      <c r="D337">
        <v>-34.6</v>
      </c>
      <c r="E337">
        <f t="shared" si="15"/>
        <v>335.5</v>
      </c>
      <c r="F337" s="12" t="b">
        <f t="shared" si="16"/>
        <v>1</v>
      </c>
      <c r="G337">
        <f>IF(F337,COUNTIFS(F$2:F337,TRUE),"")</f>
        <v>312</v>
      </c>
      <c r="H337" t="str">
        <f t="shared" si="17"/>
        <v>Late 24</v>
      </c>
    </row>
    <row r="338" spans="1:8" x14ac:dyDescent="0.25">
      <c r="A338" t="s">
        <v>465</v>
      </c>
      <c r="B338" t="s">
        <v>139</v>
      </c>
      <c r="C338" t="s">
        <v>411</v>
      </c>
      <c r="D338">
        <v>-35.599999999999994</v>
      </c>
      <c r="E338">
        <f t="shared" si="15"/>
        <v>337</v>
      </c>
      <c r="F338" s="12" t="b">
        <f t="shared" si="16"/>
        <v>1</v>
      </c>
      <c r="G338">
        <f>IF(F338,COUNTIFS(F$2:F338,TRUE),"")</f>
        <v>313</v>
      </c>
      <c r="H338" t="str">
        <f t="shared" si="17"/>
        <v>Early 25</v>
      </c>
    </row>
    <row r="339" spans="1:8" x14ac:dyDescent="0.25">
      <c r="A339" t="s">
        <v>705</v>
      </c>
      <c r="B339" t="s">
        <v>145</v>
      </c>
      <c r="C339" t="s">
        <v>639</v>
      </c>
      <c r="D339">
        <v>-35.6</v>
      </c>
      <c r="E339">
        <f t="shared" si="15"/>
        <v>338.5</v>
      </c>
      <c r="F339" s="12" t="b">
        <f t="shared" si="16"/>
        <v>1</v>
      </c>
      <c r="G339">
        <f>IF(F339,COUNTIFS(F$2:F339,TRUE),"")</f>
        <v>314</v>
      </c>
      <c r="H339" t="str">
        <f t="shared" si="17"/>
        <v>Early 25</v>
      </c>
    </row>
    <row r="340" spans="1:8" x14ac:dyDescent="0.25">
      <c r="A340" t="s">
        <v>375</v>
      </c>
      <c r="B340" t="s">
        <v>153</v>
      </c>
      <c r="C340" t="s">
        <v>288</v>
      </c>
      <c r="D340">
        <v>-35.6</v>
      </c>
      <c r="E340">
        <f t="shared" si="15"/>
        <v>338.5</v>
      </c>
      <c r="F340" s="12" t="b">
        <f t="shared" si="16"/>
        <v>1</v>
      </c>
      <c r="G340">
        <f>IF(F340,COUNTIFS(F$2:F340,TRUE),"")</f>
        <v>315</v>
      </c>
      <c r="H340" t="str">
        <f t="shared" si="17"/>
        <v>Early 25</v>
      </c>
    </row>
    <row r="341" spans="1:8" x14ac:dyDescent="0.25">
      <c r="A341" t="s">
        <v>593</v>
      </c>
      <c r="B341" t="s">
        <v>153</v>
      </c>
      <c r="C341" t="s">
        <v>417</v>
      </c>
      <c r="D341">
        <v>-36</v>
      </c>
      <c r="E341">
        <f t="shared" si="15"/>
        <v>340.5</v>
      </c>
      <c r="F341" s="12" t="b">
        <f t="shared" si="16"/>
        <v>1</v>
      </c>
      <c r="G341">
        <f>IF(F341,COUNTIFS(F$2:F341,TRUE),"")</f>
        <v>316</v>
      </c>
      <c r="H341" t="str">
        <f t="shared" si="17"/>
        <v>Early 25</v>
      </c>
    </row>
    <row r="342" spans="1:8" x14ac:dyDescent="0.25">
      <c r="A342" t="s">
        <v>390</v>
      </c>
      <c r="B342" t="s">
        <v>160</v>
      </c>
      <c r="C342" t="s">
        <v>288</v>
      </c>
      <c r="D342">
        <v>-36</v>
      </c>
      <c r="E342">
        <f t="shared" si="15"/>
        <v>340.5</v>
      </c>
      <c r="F342" s="12" t="b">
        <f t="shared" si="16"/>
        <v>1</v>
      </c>
      <c r="G342">
        <f>IF(F342,COUNTIFS(F$2:F342,TRUE),"")</f>
        <v>317</v>
      </c>
      <c r="H342" t="str">
        <f t="shared" si="17"/>
        <v>Early 25</v>
      </c>
    </row>
    <row r="343" spans="1:8" x14ac:dyDescent="0.25">
      <c r="A343" t="s">
        <v>826</v>
      </c>
      <c r="B343" t="s">
        <v>145</v>
      </c>
      <c r="C343" t="s">
        <v>768</v>
      </c>
      <c r="D343">
        <v>-36.200000000000003</v>
      </c>
      <c r="E343">
        <f t="shared" si="15"/>
        <v>342.5</v>
      </c>
      <c r="F343" s="12" t="b">
        <f t="shared" si="16"/>
        <v>1</v>
      </c>
      <c r="G343">
        <f>IF(F343,COUNTIFS(F$2:F343,TRUE),"")</f>
        <v>318</v>
      </c>
      <c r="H343" t="str">
        <f t="shared" si="17"/>
        <v>Mid 25</v>
      </c>
    </row>
    <row r="344" spans="1:8" x14ac:dyDescent="0.25">
      <c r="A344" t="s">
        <v>377</v>
      </c>
      <c r="B344" t="s">
        <v>153</v>
      </c>
      <c r="C344" t="s">
        <v>292</v>
      </c>
      <c r="D344">
        <v>-36.200000000000003</v>
      </c>
      <c r="E344">
        <f t="shared" si="15"/>
        <v>342.5</v>
      </c>
      <c r="F344" s="12" t="b">
        <f t="shared" si="16"/>
        <v>1</v>
      </c>
      <c r="G344">
        <f>IF(F344,COUNTIFS(F$2:F344,TRUE),"")</f>
        <v>319</v>
      </c>
      <c r="H344" t="str">
        <f t="shared" si="17"/>
        <v>Mid 25</v>
      </c>
    </row>
    <row r="345" spans="1:8" x14ac:dyDescent="0.25">
      <c r="A345" t="s">
        <v>845</v>
      </c>
      <c r="B345" t="s">
        <v>145</v>
      </c>
      <c r="C345" t="s">
        <v>779</v>
      </c>
      <c r="D345">
        <v>-37</v>
      </c>
      <c r="E345">
        <f t="shared" si="15"/>
        <v>344</v>
      </c>
      <c r="F345" s="12" t="b">
        <f t="shared" si="16"/>
        <v>1</v>
      </c>
      <c r="G345">
        <f>IF(F345,COUNTIFS(F$2:F345,TRUE),"")</f>
        <v>320</v>
      </c>
      <c r="H345" t="str">
        <f t="shared" si="17"/>
        <v>Mid 25</v>
      </c>
    </row>
    <row r="346" spans="1:8" x14ac:dyDescent="0.25">
      <c r="A346" t="s">
        <v>477</v>
      </c>
      <c r="B346" t="s">
        <v>139</v>
      </c>
      <c r="C346" t="s">
        <v>421</v>
      </c>
      <c r="D346">
        <v>-37.200000000000003</v>
      </c>
      <c r="E346">
        <f t="shared" si="15"/>
        <v>345</v>
      </c>
      <c r="F346" s="12" t="b">
        <f t="shared" si="16"/>
        <v>1</v>
      </c>
      <c r="G346">
        <f>IF(F346,COUNTIFS(F$2:F346,TRUE),"")</f>
        <v>321</v>
      </c>
      <c r="H346" t="str">
        <f t="shared" si="17"/>
        <v>Mid 25</v>
      </c>
    </row>
    <row r="347" spans="1:8" x14ac:dyDescent="0.25">
      <c r="A347" t="s">
        <v>314</v>
      </c>
      <c r="B347" t="s">
        <v>139</v>
      </c>
      <c r="C347" t="s">
        <v>288</v>
      </c>
      <c r="D347">
        <v>-37.799999999999997</v>
      </c>
      <c r="E347">
        <f t="shared" si="15"/>
        <v>346.5</v>
      </c>
      <c r="F347" s="12" t="b">
        <f t="shared" si="16"/>
        <v>1</v>
      </c>
      <c r="G347">
        <f>IF(F347,COUNTIFS(F$2:F347,TRUE),"")</f>
        <v>322</v>
      </c>
      <c r="H347" t="str">
        <f t="shared" si="17"/>
        <v>Late 25</v>
      </c>
    </row>
    <row r="348" spans="1:8" x14ac:dyDescent="0.25">
      <c r="A348" t="s">
        <v>733</v>
      </c>
      <c r="B348" t="s">
        <v>153</v>
      </c>
      <c r="C348" t="s">
        <v>635</v>
      </c>
      <c r="D348">
        <v>-37.799999999999997</v>
      </c>
      <c r="E348">
        <f t="shared" si="15"/>
        <v>346.5</v>
      </c>
      <c r="F348" s="12" t="b">
        <f t="shared" si="16"/>
        <v>1</v>
      </c>
      <c r="G348">
        <f>IF(F348,COUNTIFS(F$2:F348,TRUE),"")</f>
        <v>323</v>
      </c>
      <c r="H348" t="str">
        <f t="shared" si="17"/>
        <v>Late 25</v>
      </c>
    </row>
    <row r="349" spans="1:8" x14ac:dyDescent="0.25">
      <c r="A349" t="s">
        <v>745</v>
      </c>
      <c r="B349" t="s">
        <v>153</v>
      </c>
      <c r="C349" t="s">
        <v>107</v>
      </c>
      <c r="D349">
        <v>-38.4</v>
      </c>
      <c r="E349">
        <f t="shared" si="15"/>
        <v>348</v>
      </c>
      <c r="F349" s="12" t="b">
        <f t="shared" si="16"/>
        <v>1</v>
      </c>
      <c r="G349">
        <f>IF(F349,COUNTIFS(F$2:F349,TRUE),"")</f>
        <v>324</v>
      </c>
      <c r="H349" t="str">
        <f t="shared" si="17"/>
        <v>Late 25</v>
      </c>
    </row>
    <row r="350" spans="1:8" x14ac:dyDescent="0.25">
      <c r="A350" t="s">
        <v>669</v>
      </c>
      <c r="B350" t="s">
        <v>139</v>
      </c>
      <c r="C350" t="s">
        <v>639</v>
      </c>
      <c r="D350">
        <v>-38.5</v>
      </c>
      <c r="E350">
        <f t="shared" si="15"/>
        <v>349</v>
      </c>
      <c r="F350" s="12" t="b">
        <f t="shared" si="16"/>
        <v>1</v>
      </c>
      <c r="G350">
        <f>IF(F350,COUNTIFS(F$2:F350,TRUE),"")</f>
        <v>325</v>
      </c>
      <c r="H350" t="str">
        <f t="shared" si="17"/>
        <v>Late 25</v>
      </c>
    </row>
    <row r="351" spans="1:8" x14ac:dyDescent="0.25">
      <c r="A351" t="s">
        <v>699</v>
      </c>
      <c r="B351" t="s">
        <v>145</v>
      </c>
      <c r="C351" t="s">
        <v>635</v>
      </c>
      <c r="D351">
        <v>-38.6</v>
      </c>
      <c r="E351">
        <f t="shared" si="15"/>
        <v>350</v>
      </c>
      <c r="F351" s="12" t="b">
        <f t="shared" si="16"/>
        <v>1</v>
      </c>
      <c r="G351">
        <f>IF(F351,COUNTIFS(F$2:F351,TRUE),"")</f>
        <v>326</v>
      </c>
      <c r="H351" t="str">
        <f t="shared" si="17"/>
        <v>Late 25</v>
      </c>
    </row>
    <row r="352" spans="1:8" x14ac:dyDescent="0.25">
      <c r="A352" t="s">
        <v>760</v>
      </c>
      <c r="B352" t="s">
        <v>158</v>
      </c>
      <c r="C352" t="s">
        <v>648</v>
      </c>
      <c r="D352">
        <v>-39.400000000000006</v>
      </c>
      <c r="E352">
        <f t="shared" si="15"/>
        <v>351</v>
      </c>
      <c r="F352" s="12" t="b">
        <f t="shared" si="16"/>
        <v>1</v>
      </c>
      <c r="G352">
        <f>IF(F352,COUNTIFS(F$2:F352,TRUE),"")</f>
        <v>327</v>
      </c>
      <c r="H352" t="str">
        <f t="shared" si="17"/>
        <v>Early 26</v>
      </c>
    </row>
    <row r="353" spans="1:8" x14ac:dyDescent="0.25">
      <c r="A353" t="s">
        <v>210</v>
      </c>
      <c r="B353" t="s">
        <v>145</v>
      </c>
      <c r="C353" t="s">
        <v>162</v>
      </c>
      <c r="D353">
        <v>-39.5</v>
      </c>
      <c r="E353">
        <f t="shared" si="15"/>
        <v>352</v>
      </c>
      <c r="F353" s="12" t="b">
        <f t="shared" si="16"/>
        <v>1</v>
      </c>
      <c r="G353">
        <f>IF(F353,COUNTIFS(F$2:F353,TRUE),"")</f>
        <v>328</v>
      </c>
      <c r="H353" t="str">
        <f t="shared" si="17"/>
        <v>Early 26</v>
      </c>
    </row>
    <row r="354" spans="1:8" x14ac:dyDescent="0.25">
      <c r="A354" t="s">
        <v>487</v>
      </c>
      <c r="B354" t="s">
        <v>139</v>
      </c>
      <c r="C354" t="s">
        <v>430</v>
      </c>
      <c r="D354">
        <v>-40.200000000000003</v>
      </c>
      <c r="E354">
        <f t="shared" si="15"/>
        <v>353</v>
      </c>
      <c r="F354" s="12" t="b">
        <f t="shared" si="16"/>
        <v>1</v>
      </c>
      <c r="G354">
        <f>IF(F354,COUNTIFS(F$2:F354,TRUE),"")</f>
        <v>329</v>
      </c>
      <c r="H354" t="str">
        <f t="shared" si="17"/>
        <v>Early 26</v>
      </c>
    </row>
    <row r="355" spans="1:8" x14ac:dyDescent="0.25">
      <c r="A355" t="s">
        <v>737</v>
      </c>
      <c r="B355" t="s">
        <v>153</v>
      </c>
      <c r="C355" t="s">
        <v>639</v>
      </c>
      <c r="D355">
        <v>-40.700000000000003</v>
      </c>
      <c r="E355">
        <f t="shared" si="15"/>
        <v>354</v>
      </c>
      <c r="F355" s="12" t="b">
        <f t="shared" si="16"/>
        <v>1</v>
      </c>
      <c r="G355">
        <f>IF(F355,COUNTIFS(F$2:F355,TRUE),"")</f>
        <v>330</v>
      </c>
      <c r="H355" t="str">
        <f t="shared" si="17"/>
        <v>Early 26</v>
      </c>
    </row>
    <row r="356" spans="1:8" x14ac:dyDescent="0.25">
      <c r="A356" t="s">
        <v>189</v>
      </c>
      <c r="B356" t="s">
        <v>139</v>
      </c>
      <c r="C356" t="s">
        <v>167</v>
      </c>
      <c r="D356">
        <v>-40.9</v>
      </c>
      <c r="E356">
        <f t="shared" si="15"/>
        <v>355.5</v>
      </c>
      <c r="F356" s="12" t="b">
        <f t="shared" si="16"/>
        <v>1</v>
      </c>
      <c r="G356">
        <f>IF(F356,COUNTIFS(F$2:F356,TRUE),"")</f>
        <v>331</v>
      </c>
      <c r="H356" t="str">
        <f t="shared" si="17"/>
        <v>Early 26</v>
      </c>
    </row>
    <row r="357" spans="1:8" x14ac:dyDescent="0.25">
      <c r="A357" t="s">
        <v>598</v>
      </c>
      <c r="B357" t="s">
        <v>153</v>
      </c>
      <c r="C357" t="s">
        <v>421</v>
      </c>
      <c r="D357">
        <v>-40.9</v>
      </c>
      <c r="E357">
        <f t="shared" si="15"/>
        <v>355.5</v>
      </c>
      <c r="F357" s="12" t="b">
        <f t="shared" si="16"/>
        <v>1</v>
      </c>
      <c r="G357">
        <f>IF(F357,COUNTIFS(F$2:F357,TRUE),"")</f>
        <v>332</v>
      </c>
      <c r="H357" t="str">
        <f t="shared" si="17"/>
        <v>Early 26</v>
      </c>
    </row>
    <row r="358" spans="1:8" x14ac:dyDescent="0.25">
      <c r="A358" t="s">
        <v>578</v>
      </c>
      <c r="B358" t="s">
        <v>153</v>
      </c>
      <c r="C358" t="s">
        <v>400</v>
      </c>
      <c r="D358">
        <v>-41.1</v>
      </c>
      <c r="E358">
        <f t="shared" si="15"/>
        <v>357</v>
      </c>
      <c r="F358" s="12" t="b">
        <f t="shared" si="16"/>
        <v>1</v>
      </c>
      <c r="G358">
        <f>IF(F358,COUNTIFS(F$2:F358,TRUE),"")</f>
        <v>333</v>
      </c>
      <c r="H358" t="str">
        <f t="shared" si="17"/>
        <v>Mid 26</v>
      </c>
    </row>
    <row r="359" spans="1:8" x14ac:dyDescent="0.25">
      <c r="A359" t="s">
        <v>229</v>
      </c>
      <c r="B359" t="s">
        <v>145</v>
      </c>
      <c r="C359" t="s">
        <v>172</v>
      </c>
      <c r="D359">
        <v>-41.5</v>
      </c>
      <c r="E359">
        <f t="shared" si="15"/>
        <v>358</v>
      </c>
      <c r="F359" s="12" t="b">
        <f t="shared" si="16"/>
        <v>1</v>
      </c>
      <c r="G359">
        <f>IF(F359,COUNTIFS(F$2:F359,TRUE),"")</f>
        <v>334</v>
      </c>
      <c r="H359" t="str">
        <f t="shared" si="17"/>
        <v>Mid 26</v>
      </c>
    </row>
    <row r="360" spans="1:8" x14ac:dyDescent="0.25">
      <c r="A360" s="13" t="s">
        <v>541</v>
      </c>
      <c r="B360" t="s">
        <v>145</v>
      </c>
      <c r="C360" t="s">
        <v>417</v>
      </c>
      <c r="D360">
        <v>-42.699999999999996</v>
      </c>
      <c r="E360">
        <f t="shared" si="15"/>
        <v>359</v>
      </c>
      <c r="F360" s="12" t="b">
        <f t="shared" si="16"/>
        <v>1</v>
      </c>
      <c r="G360">
        <f>IF(F360,COUNTIFS(F$2:F360,TRUE),"")</f>
        <v>335</v>
      </c>
      <c r="H360" t="str">
        <f t="shared" si="17"/>
        <v>Mid 26</v>
      </c>
    </row>
    <row r="361" spans="1:8" x14ac:dyDescent="0.25">
      <c r="A361" t="s">
        <v>751</v>
      </c>
      <c r="B361" t="s">
        <v>158</v>
      </c>
      <c r="C361" t="s">
        <v>631</v>
      </c>
      <c r="D361">
        <v>-42.900000000000006</v>
      </c>
      <c r="E361">
        <f t="shared" si="15"/>
        <v>360</v>
      </c>
      <c r="F361" s="12" t="b">
        <f t="shared" si="16"/>
        <v>1</v>
      </c>
      <c r="G361">
        <f>IF(F361,COUNTIFS(F$2:F361,TRUE),"")</f>
        <v>336</v>
      </c>
      <c r="H361" t="str">
        <f t="shared" si="17"/>
        <v>Late 26</v>
      </c>
    </row>
    <row r="362" spans="1:8" x14ac:dyDescent="0.25">
      <c r="A362" t="s">
        <v>357</v>
      </c>
      <c r="B362" t="s">
        <v>145</v>
      </c>
      <c r="C362" t="s">
        <v>292</v>
      </c>
      <c r="D362">
        <v>-43</v>
      </c>
      <c r="E362">
        <f t="shared" si="15"/>
        <v>361</v>
      </c>
      <c r="F362" s="12" t="b">
        <f t="shared" si="16"/>
        <v>1</v>
      </c>
      <c r="G362">
        <f>IF(F362,COUNTIFS(F$2:F362,TRUE),"")</f>
        <v>337</v>
      </c>
      <c r="H362" t="str">
        <f t="shared" si="17"/>
        <v>Late 26</v>
      </c>
    </row>
    <row r="363" spans="1:8" x14ac:dyDescent="0.25">
      <c r="A363" t="s">
        <v>252</v>
      </c>
      <c r="B363" t="s">
        <v>153</v>
      </c>
      <c r="C363" t="s">
        <v>167</v>
      </c>
      <c r="D363">
        <v>-43.2</v>
      </c>
      <c r="E363">
        <f t="shared" si="15"/>
        <v>362</v>
      </c>
      <c r="F363" s="12" t="b">
        <f t="shared" si="16"/>
        <v>1</v>
      </c>
      <c r="G363">
        <f>IF(F363,COUNTIFS(F$2:F363,TRUE),"")</f>
        <v>338</v>
      </c>
      <c r="H363" t="str">
        <f t="shared" si="17"/>
        <v>Late 26</v>
      </c>
    </row>
    <row r="364" spans="1:8" x14ac:dyDescent="0.25">
      <c r="A364" t="s">
        <v>482</v>
      </c>
      <c r="B364" t="s">
        <v>182</v>
      </c>
      <c r="C364" t="s">
        <v>426</v>
      </c>
      <c r="D364">
        <v>-43.599999999999994</v>
      </c>
      <c r="E364">
        <f t="shared" si="15"/>
        <v>363</v>
      </c>
      <c r="F364" s="12" t="b">
        <f t="shared" si="16"/>
        <v>1</v>
      </c>
      <c r="G364">
        <f>IF(F364,COUNTIFS(F$2:F364,TRUE),"")</f>
        <v>339</v>
      </c>
      <c r="H364" t="str">
        <f t="shared" si="17"/>
        <v>Late 26</v>
      </c>
    </row>
    <row r="365" spans="1:8" x14ac:dyDescent="0.25">
      <c r="A365" t="s">
        <v>512</v>
      </c>
      <c r="B365" t="s">
        <v>145</v>
      </c>
      <c r="C365" t="s">
        <v>400</v>
      </c>
      <c r="D365">
        <v>-44.199999999999996</v>
      </c>
      <c r="E365">
        <f t="shared" si="15"/>
        <v>364</v>
      </c>
      <c r="F365" s="12" t="b">
        <f t="shared" si="16"/>
        <v>1</v>
      </c>
      <c r="G365">
        <f>IF(F365,COUNTIFS(F$2:F365,TRUE),"")</f>
        <v>340</v>
      </c>
      <c r="H365" t="str">
        <f t="shared" si="17"/>
        <v>Late 26</v>
      </c>
    </row>
    <row r="366" spans="1:8" x14ac:dyDescent="0.25">
      <c r="A366" s="11" t="s">
        <v>796</v>
      </c>
      <c r="B366" s="11" t="s">
        <v>139</v>
      </c>
      <c r="C366" s="11" t="s">
        <v>772</v>
      </c>
      <c r="D366" s="11">
        <v>-44.800000000000004</v>
      </c>
      <c r="E366" s="11">
        <f t="shared" si="15"/>
        <v>365</v>
      </c>
      <c r="F366" s="12" t="b">
        <f t="shared" si="16"/>
        <v>1</v>
      </c>
      <c r="G366">
        <f>IF(F366,COUNTIFS(F$2:F366,TRUE),"")</f>
        <v>341</v>
      </c>
      <c r="H366" t="str">
        <f t="shared" si="17"/>
        <v>Early 27</v>
      </c>
    </row>
    <row r="367" spans="1:8" x14ac:dyDescent="0.25">
      <c r="A367" t="s">
        <v>846</v>
      </c>
      <c r="B367" t="s">
        <v>145</v>
      </c>
      <c r="C367" t="s">
        <v>779</v>
      </c>
      <c r="D367">
        <v>-45.7</v>
      </c>
      <c r="E367">
        <f t="shared" si="15"/>
        <v>366</v>
      </c>
      <c r="F367" s="12" t="b">
        <f t="shared" si="16"/>
        <v>1</v>
      </c>
      <c r="G367">
        <f>IF(F367,COUNTIFS(F$2:F367,TRUE),"")</f>
        <v>342</v>
      </c>
      <c r="H367" t="str">
        <f t="shared" si="17"/>
        <v>Early 27</v>
      </c>
    </row>
    <row r="368" spans="1:8" x14ac:dyDescent="0.25">
      <c r="A368" t="s">
        <v>725</v>
      </c>
      <c r="B368" t="s">
        <v>145</v>
      </c>
      <c r="C368" t="s">
        <v>648</v>
      </c>
      <c r="D368">
        <v>-45.9</v>
      </c>
      <c r="E368">
        <f t="shared" si="15"/>
        <v>367</v>
      </c>
      <c r="F368" s="12" t="b">
        <f t="shared" si="16"/>
        <v>1</v>
      </c>
      <c r="G368">
        <f>IF(F368,COUNTIFS(F$2:F368,TRUE),"")</f>
        <v>343</v>
      </c>
      <c r="H368" t="str">
        <f t="shared" si="17"/>
        <v>Early 27</v>
      </c>
    </row>
    <row r="369" spans="1:8" x14ac:dyDescent="0.25">
      <c r="A369" t="s">
        <v>676</v>
      </c>
      <c r="B369" t="s">
        <v>139</v>
      </c>
      <c r="C369" t="s">
        <v>644</v>
      </c>
      <c r="D369">
        <v>-46.3</v>
      </c>
      <c r="E369">
        <f t="shared" si="15"/>
        <v>368.5</v>
      </c>
      <c r="F369" s="12" t="b">
        <f t="shared" si="16"/>
        <v>1</v>
      </c>
      <c r="G369">
        <f>IF(F369,COUNTIFS(F$2:F369,TRUE),"")</f>
        <v>344</v>
      </c>
      <c r="H369" t="str">
        <f t="shared" si="17"/>
        <v>Early 27</v>
      </c>
    </row>
    <row r="370" spans="1:8" x14ac:dyDescent="0.25">
      <c r="A370" t="s">
        <v>677</v>
      </c>
      <c r="B370" t="s">
        <v>182</v>
      </c>
      <c r="C370" t="s">
        <v>644</v>
      </c>
      <c r="D370">
        <v>-46.3</v>
      </c>
      <c r="E370">
        <f t="shared" si="15"/>
        <v>368.5</v>
      </c>
      <c r="F370" s="12" t="b">
        <f t="shared" si="16"/>
        <v>1</v>
      </c>
      <c r="G370">
        <f>IF(F370,COUNTIFS(F$2:F370,TRUE),"")</f>
        <v>345</v>
      </c>
      <c r="H370" t="str">
        <f t="shared" si="17"/>
        <v>Early 27</v>
      </c>
    </row>
    <row r="371" spans="1:8" x14ac:dyDescent="0.25">
      <c r="A371" t="s">
        <v>425</v>
      </c>
      <c r="B371" t="s">
        <v>116</v>
      </c>
      <c r="C371" t="s">
        <v>426</v>
      </c>
      <c r="D371">
        <v>-47</v>
      </c>
      <c r="E371">
        <f t="shared" si="15"/>
        <v>370</v>
      </c>
      <c r="F371" s="12" t="b">
        <f t="shared" si="16"/>
        <v>1</v>
      </c>
      <c r="G371">
        <f>IF(F371,COUNTIFS(F$2:F371,TRUE),"")</f>
        <v>346</v>
      </c>
      <c r="H371" t="str">
        <f t="shared" si="17"/>
        <v>Mid 27</v>
      </c>
    </row>
    <row r="372" spans="1:8" x14ac:dyDescent="0.25">
      <c r="A372" t="s">
        <v>718</v>
      </c>
      <c r="B372" t="s">
        <v>145</v>
      </c>
      <c r="C372" t="s">
        <v>107</v>
      </c>
      <c r="D372">
        <v>-47.1</v>
      </c>
      <c r="E372">
        <f t="shared" si="15"/>
        <v>371.5</v>
      </c>
      <c r="F372" s="12" t="b">
        <f t="shared" si="16"/>
        <v>1</v>
      </c>
      <c r="G372">
        <f>IF(F372,COUNTIFS(F$2:F372,TRUE),"")</f>
        <v>347</v>
      </c>
      <c r="H372" t="str">
        <f t="shared" si="17"/>
        <v>Mid 27</v>
      </c>
    </row>
    <row r="373" spans="1:8" x14ac:dyDescent="0.25">
      <c r="A373" t="s">
        <v>886</v>
      </c>
      <c r="B373" t="s">
        <v>153</v>
      </c>
      <c r="C373" t="s">
        <v>787</v>
      </c>
      <c r="D373">
        <v>-47.1</v>
      </c>
      <c r="E373">
        <f t="shared" si="15"/>
        <v>371.5</v>
      </c>
      <c r="F373" s="12" t="b">
        <f t="shared" si="16"/>
        <v>1</v>
      </c>
      <c r="G373">
        <f>IF(F373,COUNTIFS(F$2:F373,TRUE),"")</f>
        <v>348</v>
      </c>
      <c r="H373" t="str">
        <f t="shared" si="17"/>
        <v>Mid 27</v>
      </c>
    </row>
    <row r="374" spans="1:8" x14ac:dyDescent="0.25">
      <c r="A374" t="s">
        <v>326</v>
      </c>
      <c r="B374" t="s">
        <v>145</v>
      </c>
      <c r="C374" t="s">
        <v>273</v>
      </c>
      <c r="D374">
        <v>-47.6</v>
      </c>
      <c r="E374">
        <f t="shared" si="15"/>
        <v>373</v>
      </c>
      <c r="F374" s="12" t="b">
        <f t="shared" si="16"/>
        <v>1</v>
      </c>
      <c r="G374">
        <f>IF(F374,COUNTIFS(F$2:F374,TRUE),"")</f>
        <v>349</v>
      </c>
      <c r="H374" t="str">
        <f t="shared" si="17"/>
        <v>Mid 27</v>
      </c>
    </row>
    <row r="375" spans="1:8" x14ac:dyDescent="0.25">
      <c r="A375" t="s">
        <v>883</v>
      </c>
      <c r="B375" t="s">
        <v>153</v>
      </c>
      <c r="C375" t="s">
        <v>783</v>
      </c>
      <c r="D375">
        <v>-47.7</v>
      </c>
      <c r="E375">
        <f t="shared" si="15"/>
        <v>374</v>
      </c>
      <c r="F375" s="12" t="b">
        <f t="shared" si="16"/>
        <v>1</v>
      </c>
      <c r="G375">
        <f>IF(F375,COUNTIFS(F$2:F375,TRUE),"")</f>
        <v>350</v>
      </c>
      <c r="H375" t="str">
        <f t="shared" si="17"/>
        <v>Late 27</v>
      </c>
    </row>
    <row r="376" spans="1:8" x14ac:dyDescent="0.25">
      <c r="A376" t="s">
        <v>195</v>
      </c>
      <c r="B376" t="s">
        <v>139</v>
      </c>
      <c r="C376" t="s">
        <v>172</v>
      </c>
      <c r="D376">
        <v>-48</v>
      </c>
      <c r="E376">
        <f t="shared" si="15"/>
        <v>375</v>
      </c>
      <c r="F376" s="12" t="b">
        <f t="shared" si="16"/>
        <v>1</v>
      </c>
      <c r="G376">
        <f>IF(F376,COUNTIFS(F$2:F376,TRUE),"")</f>
        <v>351</v>
      </c>
      <c r="H376" t="str">
        <f t="shared" si="17"/>
        <v>Late 27</v>
      </c>
    </row>
    <row r="377" spans="1:8" x14ac:dyDescent="0.25">
      <c r="A377" t="s">
        <v>483</v>
      </c>
      <c r="B377" t="s">
        <v>139</v>
      </c>
      <c r="C377" t="s">
        <v>426</v>
      </c>
      <c r="D377">
        <v>-48.099999999999994</v>
      </c>
      <c r="E377">
        <f t="shared" si="15"/>
        <v>376</v>
      </c>
      <c r="F377" s="12" t="b">
        <f t="shared" si="16"/>
        <v>1</v>
      </c>
      <c r="G377">
        <f>IF(F377,COUNTIFS(F$2:F377,TRUE),"")</f>
        <v>352</v>
      </c>
      <c r="H377" t="str">
        <f t="shared" si="17"/>
        <v>Late 27</v>
      </c>
    </row>
    <row r="378" spans="1:8" x14ac:dyDescent="0.25">
      <c r="A378" t="s">
        <v>713</v>
      </c>
      <c r="B378" t="s">
        <v>145</v>
      </c>
      <c r="C378" t="s">
        <v>644</v>
      </c>
      <c r="D378">
        <v>-48.1</v>
      </c>
      <c r="E378">
        <f t="shared" si="15"/>
        <v>377</v>
      </c>
      <c r="F378" s="12" t="b">
        <f t="shared" si="16"/>
        <v>1</v>
      </c>
      <c r="G378">
        <f>IF(F378,COUNTIFS(F$2:F378,TRUE),"")</f>
        <v>353</v>
      </c>
      <c r="H378" t="str">
        <f t="shared" si="17"/>
        <v>Late 27</v>
      </c>
    </row>
    <row r="379" spans="1:8" x14ac:dyDescent="0.25">
      <c r="A379" t="s">
        <v>856</v>
      </c>
      <c r="B379" t="s">
        <v>145</v>
      </c>
      <c r="C379" t="s">
        <v>783</v>
      </c>
      <c r="D379">
        <v>-48.4</v>
      </c>
      <c r="E379">
        <f t="shared" si="15"/>
        <v>378</v>
      </c>
      <c r="F379" s="12" t="b">
        <f t="shared" si="16"/>
        <v>1</v>
      </c>
      <c r="G379">
        <f>IF(F379,COUNTIFS(F$2:F379,TRUE),"")</f>
        <v>354</v>
      </c>
      <c r="H379" t="str">
        <f t="shared" si="17"/>
        <v>Late 27</v>
      </c>
    </row>
    <row r="380" spans="1:8" x14ac:dyDescent="0.25">
      <c r="A380" t="s">
        <v>358</v>
      </c>
      <c r="B380" t="s">
        <v>145</v>
      </c>
      <c r="C380" t="s">
        <v>292</v>
      </c>
      <c r="D380">
        <v>-48.699999999999996</v>
      </c>
      <c r="E380">
        <f t="shared" si="15"/>
        <v>379</v>
      </c>
      <c r="F380" s="12" t="b">
        <f t="shared" si="16"/>
        <v>1</v>
      </c>
      <c r="G380">
        <f>IF(F380,COUNTIFS(F$2:F380,TRUE),"")</f>
        <v>355</v>
      </c>
      <c r="H380" t="str">
        <f t="shared" si="17"/>
        <v>Early 28</v>
      </c>
    </row>
    <row r="381" spans="1:8" x14ac:dyDescent="0.25">
      <c r="A381" t="s">
        <v>230</v>
      </c>
      <c r="B381" t="s">
        <v>145</v>
      </c>
      <c r="C381" t="s">
        <v>172</v>
      </c>
      <c r="D381">
        <v>-49.3</v>
      </c>
      <c r="E381">
        <f t="shared" si="15"/>
        <v>380</v>
      </c>
      <c r="F381" s="12" t="b">
        <f t="shared" si="16"/>
        <v>1</v>
      </c>
      <c r="G381">
        <f>IF(F381,COUNTIFS(F$2:F381,TRUE),"")</f>
        <v>356</v>
      </c>
      <c r="H381" t="str">
        <f t="shared" si="17"/>
        <v>Early 28</v>
      </c>
    </row>
    <row r="382" spans="1:8" x14ac:dyDescent="0.25">
      <c r="A382" t="s">
        <v>719</v>
      </c>
      <c r="B382" t="s">
        <v>145</v>
      </c>
      <c r="C382" t="s">
        <v>107</v>
      </c>
      <c r="D382">
        <v>-49.8</v>
      </c>
      <c r="E382">
        <f t="shared" si="15"/>
        <v>381</v>
      </c>
      <c r="F382" s="12" t="b">
        <f t="shared" si="16"/>
        <v>1</v>
      </c>
      <c r="G382">
        <f>IF(F382,COUNTIFS(F$2:F382,TRUE),"")</f>
        <v>357</v>
      </c>
      <c r="H382" t="str">
        <f t="shared" si="17"/>
        <v>Early 28</v>
      </c>
    </row>
    <row r="383" spans="1:8" x14ac:dyDescent="0.25">
      <c r="A383" t="s">
        <v>792</v>
      </c>
      <c r="B383" t="s">
        <v>139</v>
      </c>
      <c r="C383" t="s">
        <v>768</v>
      </c>
      <c r="D383">
        <v>-49.900000000000006</v>
      </c>
      <c r="E383">
        <f t="shared" si="15"/>
        <v>382</v>
      </c>
      <c r="F383" s="12" t="b">
        <f t="shared" si="16"/>
        <v>1</v>
      </c>
      <c r="G383">
        <f>IF(F383,COUNTIFS(F$2:F383,TRUE),"")</f>
        <v>358</v>
      </c>
      <c r="H383" t="str">
        <f t="shared" si="17"/>
        <v>Early 28</v>
      </c>
    </row>
    <row r="384" spans="1:8" x14ac:dyDescent="0.25">
      <c r="A384" t="s">
        <v>839</v>
      </c>
      <c r="B384" t="s">
        <v>145</v>
      </c>
      <c r="C384" t="s">
        <v>774</v>
      </c>
      <c r="D384">
        <v>-50.4</v>
      </c>
      <c r="E384">
        <f t="shared" si="15"/>
        <v>383</v>
      </c>
      <c r="F384" s="12" t="b">
        <f t="shared" si="16"/>
        <v>1</v>
      </c>
      <c r="G384">
        <f>IF(F384,COUNTIFS(F$2:F384,TRUE),"")</f>
        <v>359</v>
      </c>
      <c r="H384" t="str">
        <f t="shared" si="17"/>
        <v>Early 28</v>
      </c>
    </row>
    <row r="385" spans="1:8" x14ac:dyDescent="0.25">
      <c r="A385" t="s">
        <v>563</v>
      </c>
      <c r="B385" t="s">
        <v>145</v>
      </c>
      <c r="C385" t="s">
        <v>430</v>
      </c>
      <c r="D385">
        <v>-50.5</v>
      </c>
      <c r="E385">
        <f t="shared" si="15"/>
        <v>384</v>
      </c>
      <c r="F385" s="12" t="b">
        <f t="shared" si="16"/>
        <v>1</v>
      </c>
      <c r="G385">
        <f>IF(F385,COUNTIFS(F$2:F385,TRUE),"")</f>
        <v>360</v>
      </c>
      <c r="H385" t="str">
        <f t="shared" si="17"/>
        <v>Mid 28</v>
      </c>
    </row>
    <row r="386" spans="1:8" x14ac:dyDescent="0.25">
      <c r="A386" t="s">
        <v>253</v>
      </c>
      <c r="B386" t="s">
        <v>153</v>
      </c>
      <c r="C386" t="s">
        <v>167</v>
      </c>
      <c r="D386">
        <v>-50.7</v>
      </c>
      <c r="E386">
        <f t="shared" ref="E386:E449" si="18">_xlfn.RANK.AVG(D386,$D$2:$D$738,0)</f>
        <v>385</v>
      </c>
      <c r="F386" s="12" t="b">
        <f t="shared" si="16"/>
        <v>1</v>
      </c>
      <c r="G386">
        <f>IF(F386,COUNTIFS(F$2:F386,TRUE),"")</f>
        <v>361</v>
      </c>
      <c r="H386" t="str">
        <f t="shared" si="17"/>
        <v>Mid 28</v>
      </c>
    </row>
    <row r="387" spans="1:8" x14ac:dyDescent="0.25">
      <c r="A387" t="s">
        <v>359</v>
      </c>
      <c r="B387" t="s">
        <v>145</v>
      </c>
      <c r="C387" t="s">
        <v>292</v>
      </c>
      <c r="D387">
        <v>-51.1</v>
      </c>
      <c r="E387">
        <f t="shared" si="18"/>
        <v>386</v>
      </c>
      <c r="F387" s="12" t="b">
        <f t="shared" ref="F387:F450" si="19">color_fill(E387)</f>
        <v>1</v>
      </c>
      <c r="G387">
        <f>IF(F387,COUNTIFS(F$2:F387,TRUE),"")</f>
        <v>362</v>
      </c>
      <c r="H387" t="str">
        <f t="shared" ref="H387:H450" si="20">VLOOKUP(MOD(E387,14),$Q$2:$R$5,2,TRUE)&amp;" "&amp;_xlfn.CEILING.MATH((E387)/14)</f>
        <v>Mid 28</v>
      </c>
    </row>
    <row r="388" spans="1:8" x14ac:dyDescent="0.25">
      <c r="A388" t="s">
        <v>282</v>
      </c>
      <c r="B388" t="s">
        <v>116</v>
      </c>
      <c r="C388" t="s">
        <v>283</v>
      </c>
      <c r="D388">
        <v>-52.779999999999973</v>
      </c>
      <c r="E388">
        <f t="shared" si="18"/>
        <v>387</v>
      </c>
      <c r="F388" s="12" t="b">
        <f t="shared" si="19"/>
        <v>1</v>
      </c>
      <c r="G388">
        <f>IF(F388,COUNTIFS(F$2:F388,TRUE),"")</f>
        <v>363</v>
      </c>
      <c r="H388" t="str">
        <f t="shared" si="20"/>
        <v>Mid 28</v>
      </c>
    </row>
    <row r="389" spans="1:8" x14ac:dyDescent="0.25">
      <c r="A389" t="s">
        <v>832</v>
      </c>
      <c r="B389" t="s">
        <v>145</v>
      </c>
      <c r="C389" t="s">
        <v>772</v>
      </c>
      <c r="D389">
        <v>-52.9</v>
      </c>
      <c r="E389">
        <f t="shared" si="18"/>
        <v>388</v>
      </c>
      <c r="F389" s="12" t="b">
        <f t="shared" si="19"/>
        <v>1</v>
      </c>
      <c r="G389">
        <f>IF(F389,COUNTIFS(F$2:F389,TRUE),"")</f>
        <v>364</v>
      </c>
      <c r="H389" t="str">
        <f t="shared" si="20"/>
        <v>Late 28</v>
      </c>
    </row>
    <row r="390" spans="1:8" x14ac:dyDescent="0.25">
      <c r="A390" t="s">
        <v>447</v>
      </c>
      <c r="B390" t="s">
        <v>139</v>
      </c>
      <c r="C390" t="s">
        <v>400</v>
      </c>
      <c r="D390">
        <v>-53.6</v>
      </c>
      <c r="E390">
        <f t="shared" si="18"/>
        <v>389</v>
      </c>
      <c r="F390" s="12" t="b">
        <f t="shared" si="19"/>
        <v>1</v>
      </c>
      <c r="G390">
        <f>IF(F390,COUNTIFS(F$2:F390,TRUE),"")</f>
        <v>365</v>
      </c>
      <c r="H390" t="str">
        <f t="shared" si="20"/>
        <v>Late 28</v>
      </c>
    </row>
    <row r="391" spans="1:8" x14ac:dyDescent="0.25">
      <c r="A391" t="s">
        <v>466</v>
      </c>
      <c r="B391" t="s">
        <v>139</v>
      </c>
      <c r="C391" t="s">
        <v>411</v>
      </c>
      <c r="D391">
        <v>-53.7</v>
      </c>
      <c r="E391">
        <f t="shared" si="18"/>
        <v>390</v>
      </c>
      <c r="F391" s="12" t="b">
        <f t="shared" si="19"/>
        <v>1</v>
      </c>
      <c r="G391">
        <f>IF(F391,COUNTIFS(F$2:F391,TRUE),"")</f>
        <v>366</v>
      </c>
      <c r="H391" t="str">
        <f t="shared" si="20"/>
        <v>Late 28</v>
      </c>
    </row>
    <row r="392" spans="1:8" x14ac:dyDescent="0.25">
      <c r="A392" t="s">
        <v>335</v>
      </c>
      <c r="B392" t="s">
        <v>145</v>
      </c>
      <c r="C392" t="s">
        <v>279</v>
      </c>
      <c r="D392">
        <v>-53.8</v>
      </c>
      <c r="E392">
        <f t="shared" si="18"/>
        <v>391.5</v>
      </c>
      <c r="F392" s="12" t="b">
        <f t="shared" si="19"/>
        <v>1</v>
      </c>
      <c r="G392">
        <f>IF(F392,COUNTIFS(F$2:F392,TRUE),"")</f>
        <v>367</v>
      </c>
      <c r="H392" t="str">
        <f t="shared" si="20"/>
        <v>Late 28</v>
      </c>
    </row>
    <row r="393" spans="1:8" x14ac:dyDescent="0.25">
      <c r="A393" t="s">
        <v>857</v>
      </c>
      <c r="B393" t="s">
        <v>145</v>
      </c>
      <c r="C393" t="s">
        <v>783</v>
      </c>
      <c r="D393">
        <v>-53.8</v>
      </c>
      <c r="E393">
        <f t="shared" si="18"/>
        <v>391.5</v>
      </c>
      <c r="F393" s="12" t="b">
        <f t="shared" si="19"/>
        <v>1</v>
      </c>
      <c r="G393">
        <f>IF(F393,COUNTIFS(F$2:F393,TRUE),"")</f>
        <v>368</v>
      </c>
      <c r="H393" t="str">
        <f t="shared" si="20"/>
        <v>Late 28</v>
      </c>
    </row>
    <row r="394" spans="1:8" x14ac:dyDescent="0.25">
      <c r="A394" t="s">
        <v>800</v>
      </c>
      <c r="B394" t="s">
        <v>139</v>
      </c>
      <c r="C394" t="s">
        <v>774</v>
      </c>
      <c r="D394">
        <v>-54</v>
      </c>
      <c r="E394">
        <f t="shared" si="18"/>
        <v>393</v>
      </c>
      <c r="F394" s="12" t="b">
        <f t="shared" si="19"/>
        <v>1</v>
      </c>
      <c r="G394">
        <f>IF(F394,COUNTIFS(F$2:F394,TRUE),"")</f>
        <v>369</v>
      </c>
      <c r="H394" t="str">
        <f t="shared" si="20"/>
        <v>Early 29</v>
      </c>
    </row>
    <row r="395" spans="1:8" x14ac:dyDescent="0.25">
      <c r="A395" t="s">
        <v>351</v>
      </c>
      <c r="B395" t="s">
        <v>145</v>
      </c>
      <c r="C395" t="s">
        <v>288</v>
      </c>
      <c r="D395">
        <v>-54.199999999999996</v>
      </c>
      <c r="E395">
        <f t="shared" si="18"/>
        <v>394</v>
      </c>
      <c r="F395" s="12" t="b">
        <f t="shared" si="19"/>
        <v>1</v>
      </c>
      <c r="G395">
        <f>IF(F395,COUNTIFS(F$2:F395,TRUE),"")</f>
        <v>370</v>
      </c>
      <c r="H395" t="str">
        <f t="shared" si="20"/>
        <v>Early 29</v>
      </c>
    </row>
    <row r="396" spans="1:8" x14ac:dyDescent="0.25">
      <c r="A396" t="s">
        <v>678</v>
      </c>
      <c r="B396" t="s">
        <v>139</v>
      </c>
      <c r="C396" t="s">
        <v>644</v>
      </c>
      <c r="D396">
        <v>-54.4</v>
      </c>
      <c r="E396">
        <f t="shared" si="18"/>
        <v>395</v>
      </c>
      <c r="F396" s="12" t="b">
        <f t="shared" si="19"/>
        <v>1</v>
      </c>
      <c r="G396">
        <f>IF(F396,COUNTIFS(F$2:F396,TRUE),"")</f>
        <v>371</v>
      </c>
      <c r="H396" t="str">
        <f t="shared" si="20"/>
        <v>Early 29</v>
      </c>
    </row>
    <row r="397" spans="1:8" x14ac:dyDescent="0.25">
      <c r="A397" t="s">
        <v>459</v>
      </c>
      <c r="B397" t="s">
        <v>139</v>
      </c>
      <c r="C397" t="s">
        <v>408</v>
      </c>
      <c r="D397">
        <v>-54.5</v>
      </c>
      <c r="E397">
        <f t="shared" si="18"/>
        <v>396</v>
      </c>
      <c r="F397" s="12" t="b">
        <f t="shared" si="19"/>
        <v>1</v>
      </c>
      <c r="G397">
        <f>IF(F397,COUNTIFS(F$2:F397,TRUE),"")</f>
        <v>372</v>
      </c>
      <c r="H397" t="str">
        <f t="shared" si="20"/>
        <v>Early 29</v>
      </c>
    </row>
    <row r="398" spans="1:8" x14ac:dyDescent="0.25">
      <c r="A398" t="s">
        <v>435</v>
      </c>
      <c r="B398" t="s">
        <v>139</v>
      </c>
      <c r="C398" t="s">
        <v>393</v>
      </c>
      <c r="D398">
        <v>-54.7</v>
      </c>
      <c r="E398">
        <f t="shared" si="18"/>
        <v>397</v>
      </c>
      <c r="F398" s="12" t="b">
        <f t="shared" si="19"/>
        <v>1</v>
      </c>
      <c r="G398">
        <f>IF(F398,COUNTIFS(F$2:F398,TRUE),"")</f>
        <v>373</v>
      </c>
      <c r="H398" t="str">
        <f t="shared" si="20"/>
        <v>Early 29</v>
      </c>
    </row>
    <row r="399" spans="1:8" x14ac:dyDescent="0.25">
      <c r="A399" t="s">
        <v>827</v>
      </c>
      <c r="B399" t="s">
        <v>145</v>
      </c>
      <c r="C399" t="s">
        <v>768</v>
      </c>
      <c r="D399">
        <v>-55.6</v>
      </c>
      <c r="E399">
        <f t="shared" si="18"/>
        <v>398</v>
      </c>
      <c r="F399" s="12" t="b">
        <f t="shared" si="19"/>
        <v>1</v>
      </c>
      <c r="G399">
        <f>IF(F399,COUNTIFS(F$2:F399,TRUE),"")</f>
        <v>374</v>
      </c>
      <c r="H399" t="str">
        <f t="shared" si="20"/>
        <v>Mid 29</v>
      </c>
    </row>
    <row r="400" spans="1:8" x14ac:dyDescent="0.25">
      <c r="A400" t="s">
        <v>460</v>
      </c>
      <c r="B400" t="s">
        <v>139</v>
      </c>
      <c r="C400" t="s">
        <v>408</v>
      </c>
      <c r="D400">
        <v>-56.7</v>
      </c>
      <c r="E400">
        <f t="shared" si="18"/>
        <v>399</v>
      </c>
      <c r="F400" s="12" t="b">
        <f t="shared" si="19"/>
        <v>1</v>
      </c>
      <c r="G400">
        <f>IF(F400,COUNTIFS(F$2:F400,TRUE),"")</f>
        <v>375</v>
      </c>
      <c r="H400" t="str">
        <f t="shared" si="20"/>
        <v>Mid 29</v>
      </c>
    </row>
    <row r="401" spans="1:8" x14ac:dyDescent="0.25">
      <c r="A401" t="s">
        <v>488</v>
      </c>
      <c r="B401" t="s">
        <v>139</v>
      </c>
      <c r="C401" t="s">
        <v>430</v>
      </c>
      <c r="D401">
        <v>-57.2</v>
      </c>
      <c r="E401">
        <f t="shared" si="18"/>
        <v>400.5</v>
      </c>
      <c r="F401" s="12" t="b">
        <f t="shared" si="19"/>
        <v>1</v>
      </c>
      <c r="G401">
        <f>IF(F401,COUNTIFS(F$2:F401,TRUE),"")</f>
        <v>376</v>
      </c>
      <c r="H401" t="str">
        <f t="shared" si="20"/>
        <v>Mid 29</v>
      </c>
    </row>
    <row r="402" spans="1:8" x14ac:dyDescent="0.25">
      <c r="A402" t="s">
        <v>887</v>
      </c>
      <c r="B402" t="s">
        <v>153</v>
      </c>
      <c r="C402" t="s">
        <v>787</v>
      </c>
      <c r="D402">
        <v>-57.2</v>
      </c>
      <c r="E402">
        <f t="shared" si="18"/>
        <v>400.5</v>
      </c>
      <c r="F402" s="12" t="b">
        <f t="shared" si="19"/>
        <v>1</v>
      </c>
      <c r="G402">
        <f>IF(F402,COUNTIFS(F$2:F402,TRUE),"")</f>
        <v>377</v>
      </c>
      <c r="H402" t="str">
        <f t="shared" si="20"/>
        <v>Mid 29</v>
      </c>
    </row>
    <row r="403" spans="1:8" x14ac:dyDescent="0.25">
      <c r="A403" t="s">
        <v>342</v>
      </c>
      <c r="B403" t="s">
        <v>145</v>
      </c>
      <c r="C403" t="s">
        <v>283</v>
      </c>
      <c r="D403">
        <v>-57.3</v>
      </c>
      <c r="E403">
        <f t="shared" si="18"/>
        <v>402</v>
      </c>
      <c r="F403" s="12" t="b">
        <f t="shared" si="19"/>
        <v>1</v>
      </c>
      <c r="G403">
        <f>IF(F403,COUNTIFS(F$2:F403,TRUE),"")</f>
        <v>378</v>
      </c>
      <c r="H403" t="str">
        <f t="shared" si="20"/>
        <v>Late 29</v>
      </c>
    </row>
    <row r="404" spans="1:8" x14ac:dyDescent="0.25">
      <c r="A404" t="s">
        <v>343</v>
      </c>
      <c r="B404" t="s">
        <v>145</v>
      </c>
      <c r="C404" t="s">
        <v>283</v>
      </c>
      <c r="D404">
        <v>-57.4</v>
      </c>
      <c r="E404">
        <f t="shared" si="18"/>
        <v>403</v>
      </c>
      <c r="F404" s="12" t="b">
        <f t="shared" si="19"/>
        <v>1</v>
      </c>
      <c r="G404">
        <f>IF(F404,COUNTIFS(F$2:F404,TRUE),"")</f>
        <v>379</v>
      </c>
      <c r="H404" t="str">
        <f t="shared" si="20"/>
        <v>Late 29</v>
      </c>
    </row>
    <row r="405" spans="1:8" x14ac:dyDescent="0.25">
      <c r="A405" t="s">
        <v>819</v>
      </c>
      <c r="B405" t="s">
        <v>139</v>
      </c>
      <c r="C405" t="s">
        <v>787</v>
      </c>
      <c r="D405">
        <v>-58</v>
      </c>
      <c r="E405">
        <f t="shared" si="18"/>
        <v>404</v>
      </c>
      <c r="F405" s="12" t="b">
        <f t="shared" si="19"/>
        <v>1</v>
      </c>
      <c r="G405">
        <f>IF(F405,COUNTIFS(F$2:F405,TRUE),"")</f>
        <v>380</v>
      </c>
      <c r="H405" t="str">
        <f t="shared" si="20"/>
        <v>Late 29</v>
      </c>
    </row>
    <row r="406" spans="1:8" x14ac:dyDescent="0.25">
      <c r="A406" t="s">
        <v>196</v>
      </c>
      <c r="B406" t="s">
        <v>139</v>
      </c>
      <c r="C406" t="s">
        <v>172</v>
      </c>
      <c r="D406">
        <v>-58.1</v>
      </c>
      <c r="E406">
        <f t="shared" si="18"/>
        <v>405</v>
      </c>
      <c r="F406" s="12" t="b">
        <f t="shared" si="19"/>
        <v>1</v>
      </c>
      <c r="G406">
        <f>IF(F406,COUNTIFS(F$2:F406,TRUE),"")</f>
        <v>381</v>
      </c>
      <c r="H406" t="str">
        <f t="shared" si="20"/>
        <v>Late 29</v>
      </c>
    </row>
    <row r="407" spans="1:8" x14ac:dyDescent="0.25">
      <c r="A407" t="s">
        <v>495</v>
      </c>
      <c r="B407" t="s">
        <v>145</v>
      </c>
      <c r="C407" t="s">
        <v>393</v>
      </c>
      <c r="D407">
        <v>-58.3</v>
      </c>
      <c r="E407">
        <f t="shared" si="18"/>
        <v>406</v>
      </c>
      <c r="F407" s="12" t="b">
        <f t="shared" si="19"/>
        <v>1</v>
      </c>
      <c r="G407">
        <f>IF(F407,COUNTIFS(F$2:F407,TRUE),"")</f>
        <v>382</v>
      </c>
      <c r="H407" t="str">
        <f t="shared" si="20"/>
        <v>Late 29</v>
      </c>
    </row>
    <row r="408" spans="1:8" x14ac:dyDescent="0.25">
      <c r="A408" t="s">
        <v>863</v>
      </c>
      <c r="B408" t="s">
        <v>145</v>
      </c>
      <c r="C408" t="s">
        <v>787</v>
      </c>
      <c r="D408">
        <v>-60.7</v>
      </c>
      <c r="E408">
        <f t="shared" si="18"/>
        <v>407</v>
      </c>
      <c r="F408" s="12" t="b">
        <f t="shared" si="19"/>
        <v>1</v>
      </c>
      <c r="G408">
        <f>IF(F408,COUNTIFS(F$2:F408,TRUE),"")</f>
        <v>383</v>
      </c>
      <c r="H408" t="str">
        <f t="shared" si="20"/>
        <v>Early 30</v>
      </c>
    </row>
    <row r="409" spans="1:8" x14ac:dyDescent="0.25">
      <c r="A409" t="s">
        <v>813</v>
      </c>
      <c r="B409" t="s">
        <v>139</v>
      </c>
      <c r="C409" t="s">
        <v>783</v>
      </c>
      <c r="D409">
        <v>-61</v>
      </c>
      <c r="E409">
        <f t="shared" si="18"/>
        <v>408</v>
      </c>
      <c r="F409" s="12" t="b">
        <f t="shared" si="19"/>
        <v>1</v>
      </c>
      <c r="G409">
        <f>IF(F409,COUNTIFS(F$2:F409,TRUE),"")</f>
        <v>384</v>
      </c>
      <c r="H409" t="str">
        <f t="shared" si="20"/>
        <v>Early 30</v>
      </c>
    </row>
    <row r="410" spans="1:8" x14ac:dyDescent="0.25">
      <c r="A410" t="s">
        <v>847</v>
      </c>
      <c r="B410" t="s">
        <v>145</v>
      </c>
      <c r="C410" t="s">
        <v>779</v>
      </c>
      <c r="D410">
        <v>-61.3</v>
      </c>
      <c r="E410">
        <f t="shared" si="18"/>
        <v>409</v>
      </c>
      <c r="F410" s="12" t="b">
        <f t="shared" si="19"/>
        <v>1</v>
      </c>
      <c r="G410">
        <f>IF(F410,COUNTIFS(F$2:F410,TRUE),"")</f>
        <v>385</v>
      </c>
      <c r="H410" t="str">
        <f t="shared" si="20"/>
        <v>Early 30</v>
      </c>
    </row>
    <row r="411" spans="1:8" x14ac:dyDescent="0.25">
      <c r="A411" t="s">
        <v>752</v>
      </c>
      <c r="B411" t="s">
        <v>158</v>
      </c>
      <c r="C411" t="s">
        <v>631</v>
      </c>
      <c r="D411">
        <v>-61.600000000000009</v>
      </c>
      <c r="E411">
        <f t="shared" si="18"/>
        <v>410</v>
      </c>
      <c r="F411" s="12" t="b">
        <f t="shared" si="19"/>
        <v>1</v>
      </c>
      <c r="G411">
        <f>IF(F411,COUNTIFS(F$2:F411,TRUE),"")</f>
        <v>386</v>
      </c>
      <c r="H411" t="str">
        <f t="shared" si="20"/>
        <v>Early 30</v>
      </c>
    </row>
    <row r="412" spans="1:8" x14ac:dyDescent="0.25">
      <c r="A412" t="s">
        <v>298</v>
      </c>
      <c r="B412" t="s">
        <v>139</v>
      </c>
      <c r="C412" t="s">
        <v>273</v>
      </c>
      <c r="D412">
        <v>-62.1</v>
      </c>
      <c r="E412">
        <f t="shared" si="18"/>
        <v>411</v>
      </c>
      <c r="F412" s="12" t="b">
        <f t="shared" si="19"/>
        <v>1</v>
      </c>
      <c r="G412">
        <f>IF(F412,COUNTIFS(F$2:F412,TRUE),"")</f>
        <v>387</v>
      </c>
      <c r="H412" t="str">
        <f t="shared" si="20"/>
        <v>Early 30</v>
      </c>
    </row>
    <row r="413" spans="1:8" x14ac:dyDescent="0.25">
      <c r="A413" t="s">
        <v>801</v>
      </c>
      <c r="B413" t="s">
        <v>182</v>
      </c>
      <c r="C413" t="s">
        <v>774</v>
      </c>
      <c r="D413">
        <v>-62.2</v>
      </c>
      <c r="E413">
        <f t="shared" si="18"/>
        <v>412.5</v>
      </c>
      <c r="F413" s="12" t="b">
        <f t="shared" si="19"/>
        <v>1</v>
      </c>
      <c r="G413">
        <f>IF(F413,COUNTIFS(F$2:F413,TRUE),"")</f>
        <v>388</v>
      </c>
      <c r="H413" t="str">
        <f t="shared" si="20"/>
        <v>Mid 30</v>
      </c>
    </row>
    <row r="414" spans="1:8" x14ac:dyDescent="0.25">
      <c r="A414" t="s">
        <v>220</v>
      </c>
      <c r="B414" t="s">
        <v>145</v>
      </c>
      <c r="C414" t="s">
        <v>167</v>
      </c>
      <c r="D414">
        <v>-62.2</v>
      </c>
      <c r="E414">
        <f t="shared" si="18"/>
        <v>412.5</v>
      </c>
      <c r="F414" s="12" t="b">
        <f t="shared" si="19"/>
        <v>1</v>
      </c>
      <c r="G414">
        <f>IF(F414,COUNTIFS(F$2:F414,TRUE),"")</f>
        <v>389</v>
      </c>
      <c r="H414" t="str">
        <f t="shared" si="20"/>
        <v>Mid 30</v>
      </c>
    </row>
    <row r="415" spans="1:8" x14ac:dyDescent="0.25">
      <c r="A415" t="s">
        <v>436</v>
      </c>
      <c r="B415" t="s">
        <v>139</v>
      </c>
      <c r="C415" t="s">
        <v>393</v>
      </c>
      <c r="D415">
        <v>-62.5</v>
      </c>
      <c r="E415">
        <f t="shared" si="18"/>
        <v>414</v>
      </c>
      <c r="F415" s="12" t="b">
        <f t="shared" si="19"/>
        <v>1</v>
      </c>
      <c r="G415">
        <f>IF(F415,COUNTIFS(F$2:F415,TRUE),"")</f>
        <v>390</v>
      </c>
      <c r="H415" t="str">
        <f t="shared" si="20"/>
        <v>Mid 30</v>
      </c>
    </row>
    <row r="416" spans="1:8" x14ac:dyDescent="0.25">
      <c r="A416" t="s">
        <v>814</v>
      </c>
      <c r="B416" t="s">
        <v>139</v>
      </c>
      <c r="C416" t="s">
        <v>783</v>
      </c>
      <c r="D416">
        <v>-62.7</v>
      </c>
      <c r="E416">
        <f t="shared" si="18"/>
        <v>415</v>
      </c>
      <c r="F416" s="12" t="b">
        <f t="shared" si="19"/>
        <v>1</v>
      </c>
      <c r="G416">
        <f>IF(F416,COUNTIFS(F$2:F416,TRUE),"")</f>
        <v>391</v>
      </c>
      <c r="H416" t="str">
        <f t="shared" si="20"/>
        <v>Mid 30</v>
      </c>
    </row>
    <row r="417" spans="1:8" x14ac:dyDescent="0.25">
      <c r="A417" t="s">
        <v>802</v>
      </c>
      <c r="B417" t="s">
        <v>139</v>
      </c>
      <c r="C417" t="s">
        <v>774</v>
      </c>
      <c r="D417">
        <v>-62.9</v>
      </c>
      <c r="E417">
        <f t="shared" si="18"/>
        <v>416.5</v>
      </c>
      <c r="F417" s="12" t="b">
        <f t="shared" si="19"/>
        <v>1</v>
      </c>
      <c r="G417">
        <f>IF(F417,COUNTIFS(F$2:F417,TRUE),"")</f>
        <v>392</v>
      </c>
      <c r="H417" t="str">
        <f t="shared" si="20"/>
        <v>Late 30</v>
      </c>
    </row>
    <row r="418" spans="1:8" x14ac:dyDescent="0.25">
      <c r="A418" t="s">
        <v>496</v>
      </c>
      <c r="B418" t="s">
        <v>145</v>
      </c>
      <c r="C418" t="s">
        <v>393</v>
      </c>
      <c r="D418">
        <v>-62.9</v>
      </c>
      <c r="E418">
        <f t="shared" si="18"/>
        <v>416.5</v>
      </c>
      <c r="F418" s="12" t="b">
        <f t="shared" si="19"/>
        <v>1</v>
      </c>
      <c r="G418">
        <f>IF(F418,COUNTIFS(F$2:F418,TRUE),"")</f>
        <v>393</v>
      </c>
      <c r="H418" t="str">
        <f t="shared" si="20"/>
        <v>Late 30</v>
      </c>
    </row>
    <row r="419" spans="1:8" x14ac:dyDescent="0.25">
      <c r="A419" t="s">
        <v>454</v>
      </c>
      <c r="B419" t="s">
        <v>139</v>
      </c>
      <c r="C419" t="s">
        <v>404</v>
      </c>
      <c r="D419">
        <v>-63</v>
      </c>
      <c r="E419">
        <f t="shared" si="18"/>
        <v>418</v>
      </c>
      <c r="F419" s="12" t="b">
        <f t="shared" si="19"/>
        <v>1</v>
      </c>
      <c r="G419">
        <f>IF(F419,COUNTIFS(F$2:F419,TRUE),"")</f>
        <v>394</v>
      </c>
      <c r="H419" t="str">
        <f t="shared" si="20"/>
        <v>Late 30</v>
      </c>
    </row>
    <row r="420" spans="1:8" x14ac:dyDescent="0.25">
      <c r="A420" t="s">
        <v>190</v>
      </c>
      <c r="B420" t="s">
        <v>139</v>
      </c>
      <c r="C420" t="s">
        <v>167</v>
      </c>
      <c r="D420">
        <v>-63.9</v>
      </c>
      <c r="E420">
        <f t="shared" si="18"/>
        <v>420</v>
      </c>
      <c r="F420" s="12" t="b">
        <f t="shared" si="19"/>
        <v>1</v>
      </c>
      <c r="G420">
        <f>IF(F420,COUNTIFS(F$2:F420,TRUE),"")</f>
        <v>395</v>
      </c>
      <c r="H420" t="str">
        <f t="shared" si="20"/>
        <v>Late 30</v>
      </c>
    </row>
    <row r="421" spans="1:8" x14ac:dyDescent="0.25">
      <c r="A421" t="s">
        <v>221</v>
      </c>
      <c r="B421" t="s">
        <v>145</v>
      </c>
      <c r="C421" t="s">
        <v>167</v>
      </c>
      <c r="D421">
        <v>-63.9</v>
      </c>
      <c r="E421">
        <f t="shared" si="18"/>
        <v>420</v>
      </c>
      <c r="F421" s="12" t="b">
        <f t="shared" si="19"/>
        <v>1</v>
      </c>
      <c r="G421">
        <f>IF(F421,COUNTIFS(F$2:F421,TRUE),"")</f>
        <v>396</v>
      </c>
      <c r="H421" t="str">
        <f t="shared" si="20"/>
        <v>Late 30</v>
      </c>
    </row>
    <row r="422" spans="1:8" x14ac:dyDescent="0.25">
      <c r="A422" t="s">
        <v>720</v>
      </c>
      <c r="B422" t="s">
        <v>145</v>
      </c>
      <c r="C422" t="s">
        <v>107</v>
      </c>
      <c r="D422">
        <v>-63.9</v>
      </c>
      <c r="E422">
        <f t="shared" si="18"/>
        <v>420</v>
      </c>
      <c r="F422" s="12" t="b">
        <f t="shared" si="19"/>
        <v>1</v>
      </c>
      <c r="G422">
        <f>IF(F422,COUNTIFS(F$2:F422,TRUE),"")</f>
        <v>397</v>
      </c>
      <c r="H422" t="str">
        <f t="shared" si="20"/>
        <v>Late 30</v>
      </c>
    </row>
    <row r="423" spans="1:8" x14ac:dyDescent="0.25">
      <c r="A423" t="s">
        <v>181</v>
      </c>
      <c r="B423" t="s">
        <v>182</v>
      </c>
      <c r="C423" t="s">
        <v>162</v>
      </c>
      <c r="D423">
        <v>-64.400000000000006</v>
      </c>
      <c r="E423">
        <f t="shared" si="18"/>
        <v>422</v>
      </c>
      <c r="F423" s="12" t="b">
        <f t="shared" si="19"/>
        <v>1</v>
      </c>
      <c r="G423">
        <f>IF(F423,COUNTIFS(F$2:F423,TRUE),"")</f>
        <v>398</v>
      </c>
      <c r="H423" t="str">
        <f t="shared" si="20"/>
        <v>Early 31</v>
      </c>
    </row>
    <row r="424" spans="1:8" x14ac:dyDescent="0.25">
      <c r="A424" t="s">
        <v>731</v>
      </c>
      <c r="B424" t="s">
        <v>153</v>
      </c>
      <c r="C424" t="s">
        <v>631</v>
      </c>
      <c r="D424">
        <v>-64.5</v>
      </c>
      <c r="E424">
        <f t="shared" si="18"/>
        <v>423</v>
      </c>
      <c r="F424" s="12" t="b">
        <f t="shared" si="19"/>
        <v>1</v>
      </c>
      <c r="G424">
        <f>IF(F424,COUNTIFS(F$2:F424,TRUE),"")</f>
        <v>399</v>
      </c>
      <c r="H424" t="str">
        <f t="shared" si="20"/>
        <v>Early 31</v>
      </c>
    </row>
    <row r="425" spans="1:8" x14ac:dyDescent="0.25">
      <c r="A425" t="s">
        <v>315</v>
      </c>
      <c r="B425" t="s">
        <v>139</v>
      </c>
      <c r="C425" t="s">
        <v>288</v>
      </c>
      <c r="D425">
        <v>-64.599999999999994</v>
      </c>
      <c r="E425">
        <f t="shared" si="18"/>
        <v>424</v>
      </c>
      <c r="F425" s="12" t="b">
        <f t="shared" si="19"/>
        <v>1</v>
      </c>
      <c r="G425">
        <f>IF(F425,COUNTIFS(F$2:F425,TRUE),"")</f>
        <v>400</v>
      </c>
      <c r="H425" t="str">
        <f t="shared" si="20"/>
        <v>Early 31</v>
      </c>
    </row>
    <row r="426" spans="1:8" x14ac:dyDescent="0.25">
      <c r="A426" t="s">
        <v>679</v>
      </c>
      <c r="B426" t="s">
        <v>182</v>
      </c>
      <c r="C426" t="s">
        <v>644</v>
      </c>
      <c r="D426">
        <v>-64.7</v>
      </c>
      <c r="E426">
        <f t="shared" si="18"/>
        <v>425</v>
      </c>
      <c r="F426" s="12" t="b">
        <f t="shared" si="19"/>
        <v>1</v>
      </c>
      <c r="G426">
        <f>IF(F426,COUNTIFS(F$2:F426,TRUE),"")</f>
        <v>401</v>
      </c>
      <c r="H426" t="str">
        <f t="shared" si="20"/>
        <v>Early 31</v>
      </c>
    </row>
    <row r="427" spans="1:8" x14ac:dyDescent="0.25">
      <c r="A427" t="s">
        <v>191</v>
      </c>
      <c r="B427" t="s">
        <v>182</v>
      </c>
      <c r="C427" t="s">
        <v>167</v>
      </c>
      <c r="D427">
        <v>-64.8</v>
      </c>
      <c r="E427">
        <f t="shared" si="18"/>
        <v>426</v>
      </c>
      <c r="F427" s="12" t="b">
        <f t="shared" si="19"/>
        <v>1</v>
      </c>
      <c r="G427">
        <f>IF(F427,COUNTIFS(F$2:F427,TRUE),"")</f>
        <v>402</v>
      </c>
      <c r="H427" t="str">
        <f t="shared" si="20"/>
        <v>Mid 31</v>
      </c>
    </row>
    <row r="428" spans="1:8" x14ac:dyDescent="0.25">
      <c r="A428" t="s">
        <v>149</v>
      </c>
      <c r="B428" t="s">
        <v>145</v>
      </c>
      <c r="C428" t="s">
        <v>135</v>
      </c>
      <c r="D428">
        <v>-65.8</v>
      </c>
      <c r="E428">
        <f t="shared" si="18"/>
        <v>427</v>
      </c>
      <c r="F428" s="12" t="b">
        <f t="shared" si="19"/>
        <v>1</v>
      </c>
      <c r="G428">
        <f>IF(F428,COUNTIFS(F$2:F428,TRUE),"")</f>
        <v>403</v>
      </c>
      <c r="H428" t="str">
        <f t="shared" si="20"/>
        <v>Mid 31</v>
      </c>
    </row>
    <row r="429" spans="1:8" x14ac:dyDescent="0.25">
      <c r="A429" t="s">
        <v>352</v>
      </c>
      <c r="B429" t="s">
        <v>145</v>
      </c>
      <c r="C429" t="s">
        <v>288</v>
      </c>
      <c r="D429">
        <v>-66</v>
      </c>
      <c r="E429">
        <f t="shared" si="18"/>
        <v>428</v>
      </c>
      <c r="F429" s="12" t="b">
        <f t="shared" si="19"/>
        <v>1</v>
      </c>
      <c r="G429">
        <f>IF(F429,COUNTIFS(F$2:F429,TRUE),"")</f>
        <v>404</v>
      </c>
      <c r="H429" t="str">
        <f t="shared" si="20"/>
        <v>Mid 31</v>
      </c>
    </row>
    <row r="430" spans="1:8" x14ac:dyDescent="0.25">
      <c r="A430" t="s">
        <v>662</v>
      </c>
      <c r="B430" t="s">
        <v>139</v>
      </c>
      <c r="C430" t="s">
        <v>635</v>
      </c>
      <c r="D430">
        <v>-66.099999999999994</v>
      </c>
      <c r="E430">
        <f t="shared" si="18"/>
        <v>429</v>
      </c>
      <c r="F430" s="12" t="b">
        <f t="shared" si="19"/>
        <v>1</v>
      </c>
      <c r="G430">
        <f>IF(F430,COUNTIFS(F$2:F430,TRUE),"")</f>
        <v>405</v>
      </c>
      <c r="H430" t="str">
        <f t="shared" si="20"/>
        <v>Mid 31</v>
      </c>
    </row>
    <row r="431" spans="1:8" x14ac:dyDescent="0.25">
      <c r="A431" t="s">
        <v>327</v>
      </c>
      <c r="B431" t="s">
        <v>145</v>
      </c>
      <c r="C431" t="s">
        <v>273</v>
      </c>
      <c r="D431">
        <v>-66.3</v>
      </c>
      <c r="E431">
        <f t="shared" si="18"/>
        <v>430</v>
      </c>
      <c r="F431" s="12" t="b">
        <f t="shared" si="19"/>
        <v>1</v>
      </c>
      <c r="G431">
        <f>IF(F431,COUNTIFS(F$2:F431,TRUE),"")</f>
        <v>406</v>
      </c>
      <c r="H431" t="str">
        <f t="shared" si="20"/>
        <v>Late 31</v>
      </c>
    </row>
    <row r="432" spans="1:8" x14ac:dyDescent="0.25">
      <c r="A432" t="s">
        <v>848</v>
      </c>
      <c r="B432" t="s">
        <v>145</v>
      </c>
      <c r="C432" t="s">
        <v>779</v>
      </c>
      <c r="D432">
        <v>-66.8</v>
      </c>
      <c r="E432">
        <f t="shared" si="18"/>
        <v>431</v>
      </c>
      <c r="F432" s="12" t="b">
        <f t="shared" si="19"/>
        <v>1</v>
      </c>
      <c r="G432">
        <f>IF(F432,COUNTIFS(F$2:F432,TRUE),"")</f>
        <v>407</v>
      </c>
      <c r="H432" t="str">
        <f t="shared" si="20"/>
        <v>Late 31</v>
      </c>
    </row>
    <row r="433" spans="1:8" x14ac:dyDescent="0.25">
      <c r="A433" t="s">
        <v>497</v>
      </c>
      <c r="B433" t="s">
        <v>145</v>
      </c>
      <c r="C433" t="s">
        <v>393</v>
      </c>
      <c r="D433">
        <v>-66.900000000000006</v>
      </c>
      <c r="E433">
        <f t="shared" si="18"/>
        <v>432</v>
      </c>
      <c r="F433" s="12" t="b">
        <f t="shared" si="19"/>
        <v>1</v>
      </c>
      <c r="G433">
        <f>IF(F433,COUNTIFS(F$2:F433,TRUE),"")</f>
        <v>408</v>
      </c>
      <c r="H433" t="str">
        <f t="shared" si="20"/>
        <v>Late 31</v>
      </c>
    </row>
    <row r="434" spans="1:8" x14ac:dyDescent="0.25">
      <c r="A434" t="s">
        <v>820</v>
      </c>
      <c r="B434" t="s">
        <v>139</v>
      </c>
      <c r="C434" t="s">
        <v>787</v>
      </c>
      <c r="D434">
        <v>-67.099999999999994</v>
      </c>
      <c r="E434">
        <f t="shared" si="18"/>
        <v>433</v>
      </c>
      <c r="F434" s="12" t="b">
        <f t="shared" si="19"/>
        <v>1</v>
      </c>
      <c r="G434">
        <f>IF(F434,COUNTIFS(F$2:F434,TRUE),"")</f>
        <v>409</v>
      </c>
      <c r="H434" t="str">
        <f t="shared" si="20"/>
        <v>Late 31</v>
      </c>
    </row>
    <row r="435" spans="1:8" x14ac:dyDescent="0.25">
      <c r="A435" t="s">
        <v>513</v>
      </c>
      <c r="B435" t="s">
        <v>145</v>
      </c>
      <c r="C435" t="s">
        <v>400</v>
      </c>
      <c r="D435">
        <v>-67.2</v>
      </c>
      <c r="E435">
        <f t="shared" si="18"/>
        <v>434</v>
      </c>
      <c r="F435" s="12" t="b">
        <f t="shared" si="19"/>
        <v>1</v>
      </c>
      <c r="G435">
        <f>IF(F435,COUNTIFS(F$2:F435,TRUE),"")</f>
        <v>410</v>
      </c>
      <c r="H435" t="str">
        <f t="shared" si="20"/>
        <v>Late 31</v>
      </c>
    </row>
    <row r="436" spans="1:8" x14ac:dyDescent="0.25">
      <c r="A436" t="s">
        <v>517</v>
      </c>
      <c r="B436" t="s">
        <v>145</v>
      </c>
      <c r="C436" t="s">
        <v>404</v>
      </c>
      <c r="D436">
        <v>-67.3</v>
      </c>
      <c r="E436">
        <f t="shared" si="18"/>
        <v>435.5</v>
      </c>
      <c r="F436" s="12" t="b">
        <f t="shared" si="19"/>
        <v>1</v>
      </c>
      <c r="G436">
        <f>IF(F436,COUNTIFS(F$2:F436,TRUE),"")</f>
        <v>411</v>
      </c>
      <c r="H436" t="str">
        <f t="shared" si="20"/>
        <v>Early 32</v>
      </c>
    </row>
    <row r="437" spans="1:8" x14ac:dyDescent="0.25">
      <c r="A437" t="s">
        <v>706</v>
      </c>
      <c r="B437" t="s">
        <v>145</v>
      </c>
      <c r="C437" t="s">
        <v>639</v>
      </c>
      <c r="D437">
        <v>-67.3</v>
      </c>
      <c r="E437">
        <f t="shared" si="18"/>
        <v>435.5</v>
      </c>
      <c r="F437" s="12" t="b">
        <f t="shared" si="19"/>
        <v>1</v>
      </c>
      <c r="G437">
        <f>IF(F437,COUNTIFS(F$2:F437,TRUE),"")</f>
        <v>412</v>
      </c>
      <c r="H437" t="str">
        <f t="shared" si="20"/>
        <v>Early 32</v>
      </c>
    </row>
    <row r="438" spans="1:8" x14ac:dyDescent="0.25">
      <c r="A438" t="s">
        <v>142</v>
      </c>
      <c r="B438" t="s">
        <v>139</v>
      </c>
      <c r="C438" t="s">
        <v>135</v>
      </c>
      <c r="D438">
        <v>-69.099999999999994</v>
      </c>
      <c r="E438">
        <f t="shared" si="18"/>
        <v>437</v>
      </c>
      <c r="F438" s="12" t="b">
        <f t="shared" si="19"/>
        <v>1</v>
      </c>
      <c r="G438">
        <f>IF(F438,COUNTIFS(F$2:F438,TRUE),"")</f>
        <v>413</v>
      </c>
      <c r="H438" t="str">
        <f t="shared" si="20"/>
        <v>Early 32</v>
      </c>
    </row>
    <row r="439" spans="1:8" x14ac:dyDescent="0.25">
      <c r="A439" t="s">
        <v>524</v>
      </c>
      <c r="B439" t="s">
        <v>145</v>
      </c>
      <c r="C439" t="s">
        <v>408</v>
      </c>
      <c r="D439">
        <v>-69.7</v>
      </c>
      <c r="E439">
        <f t="shared" si="18"/>
        <v>438.5</v>
      </c>
      <c r="F439" s="12" t="b">
        <f t="shared" si="19"/>
        <v>1</v>
      </c>
      <c r="G439">
        <f>IF(F439,COUNTIFS(F$2:F439,TRUE),"")</f>
        <v>414</v>
      </c>
      <c r="H439" t="str">
        <f t="shared" si="20"/>
        <v>Early 32</v>
      </c>
    </row>
    <row r="440" spans="1:8" x14ac:dyDescent="0.25">
      <c r="A440" t="s">
        <v>828</v>
      </c>
      <c r="B440" t="s">
        <v>145</v>
      </c>
      <c r="C440" t="s">
        <v>768</v>
      </c>
      <c r="D440">
        <v>-69.7</v>
      </c>
      <c r="E440">
        <f t="shared" si="18"/>
        <v>438.5</v>
      </c>
      <c r="F440" s="12" t="b">
        <f t="shared" si="19"/>
        <v>1</v>
      </c>
      <c r="G440">
        <f>IF(F440,COUNTIFS(F$2:F440,TRUE),"")</f>
        <v>415</v>
      </c>
      <c r="H440" t="str">
        <f t="shared" si="20"/>
        <v>Early 32</v>
      </c>
    </row>
    <row r="441" spans="1:8" x14ac:dyDescent="0.25">
      <c r="A441" t="s">
        <v>222</v>
      </c>
      <c r="B441" t="s">
        <v>145</v>
      </c>
      <c r="C441" t="s">
        <v>167</v>
      </c>
      <c r="D441">
        <v>-69.900000000000006</v>
      </c>
      <c r="E441">
        <f t="shared" si="18"/>
        <v>440</v>
      </c>
      <c r="F441" s="12" t="b">
        <f t="shared" si="19"/>
        <v>1</v>
      </c>
      <c r="G441">
        <f>IF(F441,COUNTIFS(F$2:F441,TRUE),"")</f>
        <v>416</v>
      </c>
      <c r="H441" t="str">
        <f t="shared" si="20"/>
        <v>Mid 32</v>
      </c>
    </row>
    <row r="442" spans="1:8" x14ac:dyDescent="0.25">
      <c r="A442" t="s">
        <v>183</v>
      </c>
      <c r="B442" t="s">
        <v>139</v>
      </c>
      <c r="C442" t="s">
        <v>162</v>
      </c>
      <c r="D442">
        <v>-70</v>
      </c>
      <c r="E442">
        <f t="shared" si="18"/>
        <v>441</v>
      </c>
      <c r="F442" s="12" t="b">
        <f t="shared" si="19"/>
        <v>1</v>
      </c>
      <c r="G442">
        <f>IF(F442,COUNTIFS(F$2:F442,TRUE),"")</f>
        <v>417</v>
      </c>
      <c r="H442" t="str">
        <f t="shared" si="20"/>
        <v>Mid 32</v>
      </c>
    </row>
    <row r="443" spans="1:8" x14ac:dyDescent="0.25">
      <c r="A443" t="s">
        <v>542</v>
      </c>
      <c r="B443" t="s">
        <v>145</v>
      </c>
      <c r="C443" t="s">
        <v>417</v>
      </c>
      <c r="D443">
        <v>-70.5</v>
      </c>
      <c r="E443">
        <f t="shared" si="18"/>
        <v>442</v>
      </c>
      <c r="F443" s="12" t="b">
        <f t="shared" si="19"/>
        <v>1</v>
      </c>
      <c r="G443">
        <f>IF(F443,COUNTIFS(F$2:F443,TRUE),"")</f>
        <v>418</v>
      </c>
      <c r="H443" t="str">
        <f t="shared" si="20"/>
        <v>Mid 32</v>
      </c>
    </row>
    <row r="444" spans="1:8" x14ac:dyDescent="0.25">
      <c r="A444" t="s">
        <v>840</v>
      </c>
      <c r="B444" t="s">
        <v>145</v>
      </c>
      <c r="C444" t="s">
        <v>774</v>
      </c>
      <c r="D444">
        <v>-70.7</v>
      </c>
      <c r="E444">
        <f t="shared" si="18"/>
        <v>443</v>
      </c>
      <c r="F444" s="12" t="b">
        <f t="shared" si="19"/>
        <v>1</v>
      </c>
      <c r="G444">
        <f>IF(F444,COUNTIFS(F$2:F444,TRUE),"")</f>
        <v>419</v>
      </c>
      <c r="H444" t="str">
        <f t="shared" si="20"/>
        <v>Mid 32</v>
      </c>
    </row>
    <row r="445" spans="1:8" x14ac:dyDescent="0.25">
      <c r="A445" t="s">
        <v>211</v>
      </c>
      <c r="B445" t="s">
        <v>145</v>
      </c>
      <c r="C445" t="s">
        <v>162</v>
      </c>
      <c r="D445">
        <v>-71</v>
      </c>
      <c r="E445">
        <f t="shared" si="18"/>
        <v>444</v>
      </c>
      <c r="F445" s="12" t="b">
        <f t="shared" si="19"/>
        <v>1</v>
      </c>
      <c r="G445">
        <f>IF(F445,COUNTIFS(F$2:F445,TRUE),"")</f>
        <v>420</v>
      </c>
      <c r="H445" t="str">
        <f t="shared" si="20"/>
        <v>Late 32</v>
      </c>
    </row>
    <row r="446" spans="1:8" x14ac:dyDescent="0.25">
      <c r="A446" t="s">
        <v>815</v>
      </c>
      <c r="B446" t="s">
        <v>139</v>
      </c>
      <c r="C446" t="s">
        <v>783</v>
      </c>
      <c r="D446">
        <v>-71.2</v>
      </c>
      <c r="E446">
        <f t="shared" si="18"/>
        <v>445</v>
      </c>
      <c r="F446" s="12" t="b">
        <f t="shared" si="19"/>
        <v>1</v>
      </c>
      <c r="G446">
        <f>IF(F446,COUNTIFS(F$2:F446,TRUE),"")</f>
        <v>421</v>
      </c>
      <c r="H446" t="str">
        <f t="shared" si="20"/>
        <v>Late 32</v>
      </c>
    </row>
    <row r="447" spans="1:8" x14ac:dyDescent="0.25">
      <c r="A447" t="s">
        <v>205</v>
      </c>
      <c r="B447" t="s">
        <v>139</v>
      </c>
      <c r="C447" t="s">
        <v>176</v>
      </c>
      <c r="D447">
        <v>-71.5</v>
      </c>
      <c r="E447">
        <f t="shared" si="18"/>
        <v>446</v>
      </c>
      <c r="F447" s="12" t="b">
        <f t="shared" si="19"/>
        <v>1</v>
      </c>
      <c r="G447">
        <f>IF(F447,COUNTIFS(F$2:F447,TRUE),"")</f>
        <v>422</v>
      </c>
      <c r="H447" t="str">
        <f t="shared" si="20"/>
        <v>Late 32</v>
      </c>
    </row>
    <row r="448" spans="1:8" x14ac:dyDescent="0.25">
      <c r="A448" t="s">
        <v>797</v>
      </c>
      <c r="B448" t="s">
        <v>139</v>
      </c>
      <c r="C448" t="s">
        <v>772</v>
      </c>
      <c r="D448">
        <v>-71.7</v>
      </c>
      <c r="E448">
        <f t="shared" si="18"/>
        <v>448</v>
      </c>
      <c r="F448" s="12" t="b">
        <f t="shared" si="19"/>
        <v>1</v>
      </c>
      <c r="G448">
        <f>IF(F448,COUNTIFS(F$2:F448,TRUE),"")</f>
        <v>423</v>
      </c>
      <c r="H448" t="str">
        <f t="shared" si="20"/>
        <v>Late 32</v>
      </c>
    </row>
    <row r="449" spans="1:8" x14ac:dyDescent="0.25">
      <c r="A449" t="s">
        <v>803</v>
      </c>
      <c r="B449" t="s">
        <v>182</v>
      </c>
      <c r="C449" t="s">
        <v>774</v>
      </c>
      <c r="D449">
        <v>-71.7</v>
      </c>
      <c r="E449">
        <f t="shared" si="18"/>
        <v>448</v>
      </c>
      <c r="F449" s="12" t="b">
        <f t="shared" si="19"/>
        <v>1</v>
      </c>
      <c r="G449">
        <f>IF(F449,COUNTIFS(F$2:F449,TRUE),"")</f>
        <v>424</v>
      </c>
      <c r="H449" t="str">
        <f t="shared" si="20"/>
        <v>Late 32</v>
      </c>
    </row>
    <row r="450" spans="1:8" x14ac:dyDescent="0.25">
      <c r="A450" t="s">
        <v>687</v>
      </c>
      <c r="B450" t="s">
        <v>139</v>
      </c>
      <c r="C450" t="s">
        <v>648</v>
      </c>
      <c r="D450">
        <v>-71.7</v>
      </c>
      <c r="E450">
        <f t="shared" ref="E450:E513" si="21">_xlfn.RANK.AVG(D450,$D$2:$D$738,0)</f>
        <v>448</v>
      </c>
      <c r="F450" s="12" t="b">
        <f t="shared" si="19"/>
        <v>1</v>
      </c>
      <c r="G450">
        <f>IF(F450,COUNTIFS(F$2:F450,TRUE),"")</f>
        <v>425</v>
      </c>
      <c r="H450" t="str">
        <f t="shared" si="20"/>
        <v>Late 32</v>
      </c>
    </row>
    <row r="451" spans="1:8" x14ac:dyDescent="0.25">
      <c r="A451" t="s">
        <v>231</v>
      </c>
      <c r="B451" t="s">
        <v>145</v>
      </c>
      <c r="C451" t="s">
        <v>172</v>
      </c>
      <c r="D451">
        <v>-71.8</v>
      </c>
      <c r="E451">
        <f t="shared" si="21"/>
        <v>450</v>
      </c>
      <c r="F451" s="12" t="b">
        <f t="shared" ref="F451:F514" si="22">color_fill(E451)</f>
        <v>1</v>
      </c>
      <c r="G451">
        <f>IF(F451,COUNTIFS(F$2:F451,TRUE),"")</f>
        <v>426</v>
      </c>
      <c r="H451" t="str">
        <f t="shared" ref="H451:H514" si="23">VLOOKUP(MOD(E451,14),$Q$2:$R$5,2,TRUE)&amp;" "&amp;_xlfn.CEILING.MATH((E451)/14)</f>
        <v>Early 33</v>
      </c>
    </row>
    <row r="452" spans="1:8" x14ac:dyDescent="0.25">
      <c r="A452" t="s">
        <v>543</v>
      </c>
      <c r="B452" t="s">
        <v>145</v>
      </c>
      <c r="C452" t="s">
        <v>417</v>
      </c>
      <c r="D452">
        <v>-72</v>
      </c>
      <c r="E452">
        <f t="shared" si="21"/>
        <v>451</v>
      </c>
      <c r="F452" s="12" t="b">
        <f t="shared" si="22"/>
        <v>1</v>
      </c>
      <c r="G452">
        <f>IF(F452,COUNTIFS(F$2:F452,TRUE),"")</f>
        <v>427</v>
      </c>
      <c r="H452" t="str">
        <f t="shared" si="23"/>
        <v>Early 33</v>
      </c>
    </row>
    <row r="453" spans="1:8" x14ac:dyDescent="0.25">
      <c r="A453" t="s">
        <v>321</v>
      </c>
      <c r="B453" t="s">
        <v>139</v>
      </c>
      <c r="C453" t="s">
        <v>292</v>
      </c>
      <c r="D453">
        <v>-72.099999999999994</v>
      </c>
      <c r="E453">
        <f t="shared" si="21"/>
        <v>452</v>
      </c>
      <c r="F453" s="12" t="b">
        <f t="shared" si="22"/>
        <v>1</v>
      </c>
      <c r="G453">
        <f>IF(F453,COUNTIFS(F$2:F453,TRUE),"")</f>
        <v>428</v>
      </c>
      <c r="H453" t="str">
        <f t="shared" si="23"/>
        <v>Early 33</v>
      </c>
    </row>
    <row r="454" spans="1:8" x14ac:dyDescent="0.25">
      <c r="A454" t="s">
        <v>821</v>
      </c>
      <c r="B454" t="s">
        <v>139</v>
      </c>
      <c r="C454" t="s">
        <v>787</v>
      </c>
      <c r="D454">
        <v>-72.2</v>
      </c>
      <c r="E454">
        <f t="shared" si="21"/>
        <v>453</v>
      </c>
      <c r="F454" s="12" t="b">
        <f t="shared" si="22"/>
        <v>1</v>
      </c>
      <c r="G454">
        <f>IF(F454,COUNTIFS(F$2:F454,TRUE),"")</f>
        <v>429</v>
      </c>
      <c r="H454" t="str">
        <f t="shared" si="23"/>
        <v>Early 33</v>
      </c>
    </row>
    <row r="455" spans="1:8" x14ac:dyDescent="0.25">
      <c r="A455" t="s">
        <v>684</v>
      </c>
      <c r="B455" t="s">
        <v>139</v>
      </c>
      <c r="C455" t="s">
        <v>107</v>
      </c>
      <c r="D455">
        <v>-72.3</v>
      </c>
      <c r="E455">
        <f t="shared" si="21"/>
        <v>454</v>
      </c>
      <c r="F455" s="12" t="b">
        <f t="shared" si="22"/>
        <v>1</v>
      </c>
      <c r="G455">
        <f>IF(F455,COUNTIFS(F$2:F455,TRUE),"")</f>
        <v>430</v>
      </c>
      <c r="H455" t="str">
        <f t="shared" si="23"/>
        <v>Mid 33</v>
      </c>
    </row>
    <row r="456" spans="1:8" x14ac:dyDescent="0.25">
      <c r="A456" t="s">
        <v>564</v>
      </c>
      <c r="B456" t="s">
        <v>145</v>
      </c>
      <c r="C456" t="s">
        <v>430</v>
      </c>
      <c r="D456">
        <v>-72.400000000000006</v>
      </c>
      <c r="E456">
        <f t="shared" si="21"/>
        <v>455</v>
      </c>
      <c r="F456" s="12" t="b">
        <f t="shared" si="22"/>
        <v>1</v>
      </c>
      <c r="G456">
        <f>IF(F456,COUNTIFS(F$2:F456,TRUE),"")</f>
        <v>431</v>
      </c>
      <c r="H456" t="str">
        <f t="shared" si="23"/>
        <v>Mid 33</v>
      </c>
    </row>
    <row r="457" spans="1:8" x14ac:dyDescent="0.25">
      <c r="A457" t="s">
        <v>807</v>
      </c>
      <c r="B457" t="s">
        <v>182</v>
      </c>
      <c r="C457" t="s">
        <v>779</v>
      </c>
      <c r="D457">
        <v>-72.900000000000006</v>
      </c>
      <c r="E457">
        <f t="shared" si="21"/>
        <v>456.5</v>
      </c>
      <c r="F457" s="12" t="b">
        <f t="shared" si="22"/>
        <v>1</v>
      </c>
      <c r="G457">
        <f>IF(F457,COUNTIFS(F$2:F457,TRUE),"")</f>
        <v>432</v>
      </c>
      <c r="H457" t="str">
        <f t="shared" si="23"/>
        <v>Mid 33</v>
      </c>
    </row>
    <row r="458" spans="1:8" x14ac:dyDescent="0.25">
      <c r="A458" t="s">
        <v>336</v>
      </c>
      <c r="B458" t="s">
        <v>145</v>
      </c>
      <c r="C458" t="s">
        <v>279</v>
      </c>
      <c r="D458">
        <v>-72.900000000000006</v>
      </c>
      <c r="E458">
        <f t="shared" si="21"/>
        <v>456.5</v>
      </c>
      <c r="F458" s="12" t="b">
        <f t="shared" si="22"/>
        <v>1</v>
      </c>
      <c r="G458">
        <f>IF(F458,COUNTIFS(F$2:F458,TRUE),"")</f>
        <v>433</v>
      </c>
      <c r="H458" t="str">
        <f t="shared" si="23"/>
        <v>Mid 33</v>
      </c>
    </row>
    <row r="459" spans="1:8" x14ac:dyDescent="0.25">
      <c r="A459" t="s">
        <v>506</v>
      </c>
      <c r="B459" t="s">
        <v>145</v>
      </c>
      <c r="C459" t="s">
        <v>397</v>
      </c>
      <c r="D459">
        <v>-73.099999999999994</v>
      </c>
      <c r="E459">
        <f t="shared" si="21"/>
        <v>458</v>
      </c>
      <c r="F459" s="12" t="b">
        <f t="shared" si="22"/>
        <v>1</v>
      </c>
      <c r="G459">
        <f>IF(F459,COUNTIFS(F$2:F459,TRUE),"")</f>
        <v>434</v>
      </c>
      <c r="H459" t="str">
        <f t="shared" si="23"/>
        <v>Late 33</v>
      </c>
    </row>
    <row r="460" spans="1:8" x14ac:dyDescent="0.25">
      <c r="A460" t="s">
        <v>556</v>
      </c>
      <c r="B460" t="s">
        <v>145</v>
      </c>
      <c r="C460" t="s">
        <v>426</v>
      </c>
      <c r="D460">
        <v>-73.3</v>
      </c>
      <c r="E460">
        <f t="shared" si="21"/>
        <v>459</v>
      </c>
      <c r="F460" s="12" t="b">
        <f t="shared" si="22"/>
        <v>1</v>
      </c>
      <c r="G460">
        <f>IF(F460,COUNTIFS(F$2:F460,TRUE),"")</f>
        <v>435</v>
      </c>
      <c r="H460" t="str">
        <f t="shared" si="23"/>
        <v>Late 33</v>
      </c>
    </row>
    <row r="461" spans="1:8" x14ac:dyDescent="0.25">
      <c r="A461" t="s">
        <v>663</v>
      </c>
      <c r="B461" t="s">
        <v>139</v>
      </c>
      <c r="C461" t="s">
        <v>635</v>
      </c>
      <c r="D461">
        <v>-73.599999999999994</v>
      </c>
      <c r="E461">
        <f t="shared" si="21"/>
        <v>460</v>
      </c>
      <c r="F461" s="12" t="b">
        <f t="shared" si="22"/>
        <v>1</v>
      </c>
      <c r="G461">
        <f>IF(F461,COUNTIFS(F$2:F461,TRUE),"")</f>
        <v>436</v>
      </c>
      <c r="H461" t="str">
        <f t="shared" si="23"/>
        <v>Late 33</v>
      </c>
    </row>
    <row r="462" spans="1:8" x14ac:dyDescent="0.25">
      <c r="A462" t="s">
        <v>223</v>
      </c>
      <c r="B462" t="s">
        <v>145</v>
      </c>
      <c r="C462" t="s">
        <v>167</v>
      </c>
      <c r="D462">
        <v>-74</v>
      </c>
      <c r="E462">
        <f t="shared" si="21"/>
        <v>461</v>
      </c>
      <c r="F462" s="12" t="b">
        <f t="shared" si="22"/>
        <v>1</v>
      </c>
      <c r="G462">
        <f>IF(F462,COUNTIFS(F$2:F462,TRUE),"")</f>
        <v>437</v>
      </c>
      <c r="H462" t="str">
        <f t="shared" si="23"/>
        <v>Late 33</v>
      </c>
    </row>
    <row r="463" spans="1:8" x14ac:dyDescent="0.25">
      <c r="A463" t="s">
        <v>224</v>
      </c>
      <c r="B463" t="s">
        <v>145</v>
      </c>
      <c r="C463" t="s">
        <v>167</v>
      </c>
      <c r="D463">
        <v>-74.099999999999994</v>
      </c>
      <c r="E463">
        <f t="shared" si="21"/>
        <v>462</v>
      </c>
      <c r="F463" s="12" t="b">
        <f t="shared" si="22"/>
        <v>1</v>
      </c>
      <c r="G463">
        <f>IF(F463,COUNTIFS(F$2:F463,TRUE),"")</f>
        <v>438</v>
      </c>
      <c r="H463" t="str">
        <f t="shared" si="23"/>
        <v>Late 33</v>
      </c>
    </row>
    <row r="464" spans="1:8" x14ac:dyDescent="0.25">
      <c r="A464" t="s">
        <v>833</v>
      </c>
      <c r="B464" t="s">
        <v>145</v>
      </c>
      <c r="C464" t="s">
        <v>772</v>
      </c>
      <c r="D464">
        <v>-74.2</v>
      </c>
      <c r="E464">
        <f t="shared" si="21"/>
        <v>463</v>
      </c>
      <c r="F464" s="12" t="b">
        <f t="shared" si="22"/>
        <v>1</v>
      </c>
      <c r="G464">
        <f>IF(F464,COUNTIFS(F$2:F464,TRUE),"")</f>
        <v>439</v>
      </c>
      <c r="H464" t="str">
        <f t="shared" si="23"/>
        <v>Early 34</v>
      </c>
    </row>
    <row r="465" spans="1:8" x14ac:dyDescent="0.25">
      <c r="A465" t="s">
        <v>531</v>
      </c>
      <c r="B465" t="s">
        <v>145</v>
      </c>
      <c r="C465" t="s">
        <v>411</v>
      </c>
      <c r="D465">
        <v>-74.3</v>
      </c>
      <c r="E465">
        <f t="shared" si="21"/>
        <v>464.5</v>
      </c>
      <c r="F465" s="12" t="b">
        <f t="shared" si="22"/>
        <v>1</v>
      </c>
      <c r="G465">
        <f>IF(F465,COUNTIFS(F$2:F465,TRUE),"")</f>
        <v>440</v>
      </c>
      <c r="H465" t="str">
        <f t="shared" si="23"/>
        <v>Early 34</v>
      </c>
    </row>
    <row r="466" spans="1:8" x14ac:dyDescent="0.25">
      <c r="A466" t="s">
        <v>864</v>
      </c>
      <c r="B466" t="s">
        <v>145</v>
      </c>
      <c r="C466" t="s">
        <v>787</v>
      </c>
      <c r="D466">
        <v>-74.3</v>
      </c>
      <c r="E466">
        <f t="shared" si="21"/>
        <v>464.5</v>
      </c>
      <c r="F466" s="12" t="b">
        <f t="shared" si="22"/>
        <v>1</v>
      </c>
      <c r="G466">
        <f>IF(F466,COUNTIFS(F$2:F466,TRUE),"")</f>
        <v>441</v>
      </c>
      <c r="H466" t="str">
        <f t="shared" si="23"/>
        <v>Early 34</v>
      </c>
    </row>
    <row r="467" spans="1:8" x14ac:dyDescent="0.25">
      <c r="A467" t="s">
        <v>664</v>
      </c>
      <c r="B467" t="s">
        <v>139</v>
      </c>
      <c r="C467" t="s">
        <v>635</v>
      </c>
      <c r="D467">
        <v>-74.5</v>
      </c>
      <c r="E467">
        <f t="shared" si="21"/>
        <v>466.5</v>
      </c>
      <c r="F467" s="12" t="b">
        <f t="shared" si="22"/>
        <v>1</v>
      </c>
      <c r="G467">
        <f>IF(F467,COUNTIFS(F$2:F467,TRUE),"")</f>
        <v>442</v>
      </c>
      <c r="H467" t="str">
        <f t="shared" si="23"/>
        <v>Early 34</v>
      </c>
    </row>
    <row r="468" spans="1:8" x14ac:dyDescent="0.25">
      <c r="A468" t="s">
        <v>328</v>
      </c>
      <c r="B468" t="s">
        <v>145</v>
      </c>
      <c r="C468" t="s">
        <v>273</v>
      </c>
      <c r="D468">
        <v>-74.5</v>
      </c>
      <c r="E468">
        <f t="shared" si="21"/>
        <v>466.5</v>
      </c>
      <c r="F468" s="12" t="b">
        <f t="shared" si="22"/>
        <v>1</v>
      </c>
      <c r="G468">
        <f>IF(F468,COUNTIFS(F$2:F468,TRUE),"")</f>
        <v>443</v>
      </c>
      <c r="H468" t="str">
        <f t="shared" si="23"/>
        <v>Early 34</v>
      </c>
    </row>
    <row r="469" spans="1:8" x14ac:dyDescent="0.25">
      <c r="A469" t="s">
        <v>804</v>
      </c>
      <c r="B469" t="s">
        <v>139</v>
      </c>
      <c r="C469" t="s">
        <v>774</v>
      </c>
      <c r="D469">
        <v>-74.7</v>
      </c>
      <c r="E469">
        <f t="shared" si="21"/>
        <v>468</v>
      </c>
      <c r="F469" s="12" t="b">
        <f t="shared" si="22"/>
        <v>1</v>
      </c>
      <c r="G469">
        <f>IF(F469,COUNTIFS(F$2:F469,TRUE),"")</f>
        <v>444</v>
      </c>
      <c r="H469" t="str">
        <f t="shared" si="23"/>
        <v>Mid 34</v>
      </c>
    </row>
    <row r="470" spans="1:8" x14ac:dyDescent="0.25">
      <c r="A470" t="s">
        <v>589</v>
      </c>
      <c r="B470" t="s">
        <v>153</v>
      </c>
      <c r="C470" t="s">
        <v>411</v>
      </c>
      <c r="D470">
        <v>-74.8</v>
      </c>
      <c r="E470">
        <f t="shared" si="21"/>
        <v>469</v>
      </c>
      <c r="F470" s="12" t="b">
        <f t="shared" si="22"/>
        <v>1</v>
      </c>
      <c r="G470">
        <f>IF(F470,COUNTIFS(F$2:F470,TRUE),"")</f>
        <v>445</v>
      </c>
      <c r="H470" t="str">
        <f t="shared" si="23"/>
        <v>Mid 34</v>
      </c>
    </row>
    <row r="471" spans="1:8" x14ac:dyDescent="0.25">
      <c r="A471" t="s">
        <v>437</v>
      </c>
      <c r="B471" t="s">
        <v>182</v>
      </c>
      <c r="C471" t="s">
        <v>393</v>
      </c>
      <c r="D471">
        <v>-74.900000000000006</v>
      </c>
      <c r="E471">
        <f t="shared" si="21"/>
        <v>470</v>
      </c>
      <c r="F471" s="12" t="b">
        <f t="shared" si="22"/>
        <v>1</v>
      </c>
      <c r="G471">
        <f>IF(F471,COUNTIFS(F$2:F471,TRUE),"")</f>
        <v>446</v>
      </c>
      <c r="H471" t="str">
        <f t="shared" si="23"/>
        <v>Mid 34</v>
      </c>
    </row>
    <row r="472" spans="1:8" x14ac:dyDescent="0.25">
      <c r="A472" t="s">
        <v>849</v>
      </c>
      <c r="B472" t="s">
        <v>145</v>
      </c>
      <c r="C472" t="s">
        <v>779</v>
      </c>
      <c r="D472">
        <v>-75.099999999999994</v>
      </c>
      <c r="E472">
        <f t="shared" si="21"/>
        <v>471</v>
      </c>
      <c r="F472" s="12" t="b">
        <f t="shared" si="22"/>
        <v>1</v>
      </c>
      <c r="G472">
        <f>IF(F472,COUNTIFS(F$2:F472,TRUE),"")</f>
        <v>447</v>
      </c>
      <c r="H472" t="str">
        <f t="shared" si="23"/>
        <v>Mid 34</v>
      </c>
    </row>
    <row r="473" spans="1:8" x14ac:dyDescent="0.25">
      <c r="A473" t="s">
        <v>232</v>
      </c>
      <c r="B473" t="s">
        <v>145</v>
      </c>
      <c r="C473" t="s">
        <v>172</v>
      </c>
      <c r="D473">
        <v>-75.8</v>
      </c>
      <c r="E473">
        <f t="shared" si="21"/>
        <v>472.5</v>
      </c>
      <c r="F473" s="12" t="b">
        <f t="shared" si="22"/>
        <v>1</v>
      </c>
      <c r="G473">
        <f>IF(F473,COUNTIFS(F$2:F473,TRUE),"")</f>
        <v>448</v>
      </c>
      <c r="H473" t="str">
        <f t="shared" si="23"/>
        <v>Late 34</v>
      </c>
    </row>
    <row r="474" spans="1:8" x14ac:dyDescent="0.25">
      <c r="A474" t="s">
        <v>329</v>
      </c>
      <c r="B474" t="s">
        <v>145</v>
      </c>
      <c r="C474" t="s">
        <v>273</v>
      </c>
      <c r="D474">
        <v>-75.8</v>
      </c>
      <c r="E474">
        <f t="shared" si="21"/>
        <v>472.5</v>
      </c>
      <c r="F474" s="12" t="b">
        <f t="shared" si="22"/>
        <v>1</v>
      </c>
      <c r="G474">
        <f>IF(F474,COUNTIFS(F$2:F474,TRUE),"")</f>
        <v>449</v>
      </c>
      <c r="H474" t="str">
        <f t="shared" si="23"/>
        <v>Late 34</v>
      </c>
    </row>
    <row r="475" spans="1:8" x14ac:dyDescent="0.25">
      <c r="A475" t="s">
        <v>242</v>
      </c>
      <c r="B475" t="s">
        <v>145</v>
      </c>
      <c r="C475" t="s">
        <v>176</v>
      </c>
      <c r="D475">
        <v>-75.900000000000006</v>
      </c>
      <c r="E475">
        <f t="shared" si="21"/>
        <v>474</v>
      </c>
      <c r="F475" s="12" t="b">
        <f t="shared" si="22"/>
        <v>1</v>
      </c>
      <c r="G475">
        <f>IF(F475,COUNTIFS(F$2:F475,TRUE),"")</f>
        <v>450</v>
      </c>
      <c r="H475" t="str">
        <f t="shared" si="23"/>
        <v>Late 34</v>
      </c>
    </row>
    <row r="476" spans="1:8" x14ac:dyDescent="0.25">
      <c r="A476" t="s">
        <v>330</v>
      </c>
      <c r="B476" t="s">
        <v>145</v>
      </c>
      <c r="C476" t="s">
        <v>273</v>
      </c>
      <c r="D476">
        <v>-76.099999999999994</v>
      </c>
      <c r="E476">
        <f t="shared" si="21"/>
        <v>475</v>
      </c>
      <c r="F476" s="12" t="b">
        <f t="shared" si="22"/>
        <v>1</v>
      </c>
      <c r="G476">
        <f>IF(F476,COUNTIFS(F$2:F476,TRUE),"")</f>
        <v>451</v>
      </c>
      <c r="H476" t="str">
        <f t="shared" si="23"/>
        <v>Late 34</v>
      </c>
    </row>
    <row r="477" spans="1:8" x14ac:dyDescent="0.25">
      <c r="A477" t="s">
        <v>478</v>
      </c>
      <c r="B477" t="s">
        <v>139</v>
      </c>
      <c r="C477" t="s">
        <v>421</v>
      </c>
      <c r="D477">
        <v>-76.2</v>
      </c>
      <c r="E477">
        <f t="shared" si="21"/>
        <v>476</v>
      </c>
      <c r="F477" s="12" t="b">
        <f t="shared" si="22"/>
        <v>1</v>
      </c>
      <c r="G477">
        <f>IF(F477,COUNTIFS(F$2:F477,TRUE),"")</f>
        <v>452</v>
      </c>
      <c r="H477" t="str">
        <f t="shared" si="23"/>
        <v>Late 34</v>
      </c>
    </row>
    <row r="478" spans="1:8" x14ac:dyDescent="0.25">
      <c r="A478" t="s">
        <v>233</v>
      </c>
      <c r="B478" t="s">
        <v>145</v>
      </c>
      <c r="C478" t="s">
        <v>172</v>
      </c>
      <c r="D478">
        <v>-76.400000000000006</v>
      </c>
      <c r="E478">
        <f t="shared" si="21"/>
        <v>477</v>
      </c>
      <c r="F478" s="12" t="b">
        <f t="shared" si="22"/>
        <v>1</v>
      </c>
      <c r="G478">
        <f>IF(F478,COUNTIFS(F$2:F478,TRUE),"")</f>
        <v>453</v>
      </c>
      <c r="H478" t="str">
        <f t="shared" si="23"/>
        <v>Early 35</v>
      </c>
    </row>
    <row r="479" spans="1:8" x14ac:dyDescent="0.25">
      <c r="A479" t="s">
        <v>549</v>
      </c>
      <c r="B479" t="s">
        <v>145</v>
      </c>
      <c r="C479" t="s">
        <v>421</v>
      </c>
      <c r="D479">
        <v>-76.5</v>
      </c>
      <c r="E479">
        <f t="shared" si="21"/>
        <v>478</v>
      </c>
      <c r="F479" s="12" t="b">
        <f t="shared" si="22"/>
        <v>1</v>
      </c>
      <c r="G479">
        <f>IF(F479,COUNTIFS(F$2:F479,TRUE),"")</f>
        <v>454</v>
      </c>
      <c r="H479" t="str">
        <f t="shared" si="23"/>
        <v>Early 35</v>
      </c>
    </row>
    <row r="480" spans="1:8" x14ac:dyDescent="0.25">
      <c r="A480" t="s">
        <v>607</v>
      </c>
      <c r="B480" t="s">
        <v>153</v>
      </c>
      <c r="C480" t="s">
        <v>430</v>
      </c>
      <c r="D480">
        <v>-77.3</v>
      </c>
      <c r="E480">
        <f t="shared" si="21"/>
        <v>479</v>
      </c>
      <c r="F480" s="12" t="b">
        <f t="shared" si="22"/>
        <v>1</v>
      </c>
      <c r="G480">
        <f>IF(F480,COUNTIFS(F$2:F480,TRUE),"")</f>
        <v>455</v>
      </c>
      <c r="H480" t="str">
        <f t="shared" si="23"/>
        <v>Early 35</v>
      </c>
    </row>
    <row r="481" spans="1:8" x14ac:dyDescent="0.25">
      <c r="A481" t="s">
        <v>550</v>
      </c>
      <c r="B481" t="s">
        <v>145</v>
      </c>
      <c r="C481" t="s">
        <v>421</v>
      </c>
      <c r="D481">
        <v>-77.5</v>
      </c>
      <c r="E481">
        <f t="shared" si="21"/>
        <v>480</v>
      </c>
      <c r="F481" s="12" t="b">
        <f t="shared" si="22"/>
        <v>1</v>
      </c>
      <c r="G481">
        <f>IF(F481,COUNTIFS(F$2:F481,TRUE),"")</f>
        <v>456</v>
      </c>
      <c r="H481" t="str">
        <f t="shared" si="23"/>
        <v>Early 35</v>
      </c>
    </row>
    <row r="482" spans="1:8" x14ac:dyDescent="0.25">
      <c r="A482" t="s">
        <v>331</v>
      </c>
      <c r="B482" t="s">
        <v>145</v>
      </c>
      <c r="C482" t="s">
        <v>273</v>
      </c>
      <c r="D482">
        <v>-77.7</v>
      </c>
      <c r="E482">
        <f t="shared" si="21"/>
        <v>481</v>
      </c>
      <c r="F482" s="12" t="b">
        <f t="shared" si="22"/>
        <v>1</v>
      </c>
      <c r="G482">
        <f>IF(F482,COUNTIFS(F$2:F482,TRUE),"")</f>
        <v>457</v>
      </c>
      <c r="H482" t="str">
        <f t="shared" si="23"/>
        <v>Early 35</v>
      </c>
    </row>
    <row r="483" spans="1:8" x14ac:dyDescent="0.25">
      <c r="A483" t="s">
        <v>518</v>
      </c>
      <c r="B483" t="s">
        <v>145</v>
      </c>
      <c r="C483" t="s">
        <v>404</v>
      </c>
      <c r="D483">
        <v>-78.3</v>
      </c>
      <c r="E483">
        <f t="shared" si="21"/>
        <v>482</v>
      </c>
      <c r="F483" s="12" t="b">
        <f t="shared" si="22"/>
        <v>1</v>
      </c>
      <c r="G483">
        <f>IF(F483,COUNTIFS(F$2:F483,TRUE),"")</f>
        <v>458</v>
      </c>
      <c r="H483" t="str">
        <f t="shared" si="23"/>
        <v>Mid 35</v>
      </c>
    </row>
    <row r="484" spans="1:8" x14ac:dyDescent="0.25">
      <c r="A484" t="s">
        <v>888</v>
      </c>
      <c r="B484" t="s">
        <v>153</v>
      </c>
      <c r="C484" t="s">
        <v>787</v>
      </c>
      <c r="D484">
        <v>-78.400000000000006</v>
      </c>
      <c r="E484">
        <f t="shared" si="21"/>
        <v>483</v>
      </c>
      <c r="F484" s="12" t="b">
        <f t="shared" si="22"/>
        <v>1</v>
      </c>
      <c r="G484">
        <f>IF(F484,COUNTIFS(F$2:F484,TRUE),"")</f>
        <v>459</v>
      </c>
      <c r="H484" t="str">
        <f t="shared" si="23"/>
        <v>Mid 35</v>
      </c>
    </row>
    <row r="485" spans="1:8" x14ac:dyDescent="0.25">
      <c r="A485" t="s">
        <v>532</v>
      </c>
      <c r="B485" t="s">
        <v>145</v>
      </c>
      <c r="C485" t="s">
        <v>411</v>
      </c>
      <c r="D485">
        <v>-78.5</v>
      </c>
      <c r="E485">
        <f t="shared" si="21"/>
        <v>484</v>
      </c>
      <c r="F485" s="12" t="b">
        <f t="shared" si="22"/>
        <v>1</v>
      </c>
      <c r="G485">
        <f>IF(F485,COUNTIFS(F$2:F485,TRUE),"")</f>
        <v>460</v>
      </c>
      <c r="H485" t="str">
        <f t="shared" si="23"/>
        <v>Mid 35</v>
      </c>
    </row>
    <row r="486" spans="1:8" x14ac:dyDescent="0.25">
      <c r="A486" t="s">
        <v>344</v>
      </c>
      <c r="B486" t="s">
        <v>145</v>
      </c>
      <c r="C486" t="s">
        <v>283</v>
      </c>
      <c r="D486">
        <v>-78.599999999999994</v>
      </c>
      <c r="E486">
        <f t="shared" si="21"/>
        <v>485</v>
      </c>
      <c r="F486" s="12" t="b">
        <f t="shared" si="22"/>
        <v>1</v>
      </c>
      <c r="G486">
        <f>IF(F486,COUNTIFS(F$2:F486,TRUE),"")</f>
        <v>461</v>
      </c>
      <c r="H486" t="str">
        <f t="shared" si="23"/>
        <v>Mid 35</v>
      </c>
    </row>
    <row r="487" spans="1:8" x14ac:dyDescent="0.25">
      <c r="A487" t="s">
        <v>155</v>
      </c>
      <c r="B487" t="s">
        <v>153</v>
      </c>
      <c r="C487" t="s">
        <v>135</v>
      </c>
      <c r="D487">
        <v>-78.7</v>
      </c>
      <c r="E487">
        <f t="shared" si="21"/>
        <v>486</v>
      </c>
      <c r="F487" s="12" t="b">
        <f t="shared" si="22"/>
        <v>1</v>
      </c>
      <c r="G487">
        <f>IF(F487,COUNTIFS(F$2:F487,TRUE),"")</f>
        <v>462</v>
      </c>
      <c r="H487" t="str">
        <f t="shared" si="23"/>
        <v>Late 35</v>
      </c>
    </row>
    <row r="488" spans="1:8" x14ac:dyDescent="0.25">
      <c r="A488" t="s">
        <v>665</v>
      </c>
      <c r="B488" t="s">
        <v>182</v>
      </c>
      <c r="C488" t="s">
        <v>635</v>
      </c>
      <c r="D488">
        <v>-78.900000000000006</v>
      </c>
      <c r="E488">
        <f t="shared" si="21"/>
        <v>487</v>
      </c>
      <c r="F488" s="12" t="b">
        <f t="shared" si="22"/>
        <v>1</v>
      </c>
      <c r="G488">
        <f>IF(F488,COUNTIFS(F$2:F488,TRUE),"")</f>
        <v>463</v>
      </c>
      <c r="H488" t="str">
        <f t="shared" si="23"/>
        <v>Late 35</v>
      </c>
    </row>
    <row r="489" spans="1:8" x14ac:dyDescent="0.25">
      <c r="A489" t="s">
        <v>442</v>
      </c>
      <c r="B489" t="s">
        <v>182</v>
      </c>
      <c r="C489" t="s">
        <v>397</v>
      </c>
      <c r="D489">
        <v>-79</v>
      </c>
      <c r="E489">
        <f t="shared" si="21"/>
        <v>488</v>
      </c>
      <c r="F489" s="12" t="b">
        <f t="shared" si="22"/>
        <v>1</v>
      </c>
      <c r="G489">
        <f>IF(F489,COUNTIFS(F$2:F489,TRUE),"")</f>
        <v>464</v>
      </c>
      <c r="H489" t="str">
        <f t="shared" si="23"/>
        <v>Late 35</v>
      </c>
    </row>
    <row r="490" spans="1:8" x14ac:dyDescent="0.25">
      <c r="A490" t="s">
        <v>443</v>
      </c>
      <c r="B490" t="s">
        <v>139</v>
      </c>
      <c r="C490" t="s">
        <v>397</v>
      </c>
      <c r="D490">
        <v>-79.099999999999994</v>
      </c>
      <c r="E490">
        <f t="shared" si="21"/>
        <v>489.5</v>
      </c>
      <c r="F490" s="12" t="b">
        <f t="shared" si="22"/>
        <v>1</v>
      </c>
      <c r="G490">
        <f>IF(F490,COUNTIFS(F$2:F490,TRUE),"")</f>
        <v>465</v>
      </c>
      <c r="H490" t="str">
        <f t="shared" si="23"/>
        <v>Late 35</v>
      </c>
    </row>
    <row r="491" spans="1:8" x14ac:dyDescent="0.25">
      <c r="A491" t="s">
        <v>693</v>
      </c>
      <c r="B491" t="s">
        <v>145</v>
      </c>
      <c r="C491" t="s">
        <v>631</v>
      </c>
      <c r="D491">
        <v>-79.099999999999994</v>
      </c>
      <c r="E491">
        <f t="shared" si="21"/>
        <v>489.5</v>
      </c>
      <c r="F491" s="12" t="b">
        <f t="shared" si="22"/>
        <v>1</v>
      </c>
      <c r="G491">
        <f>IF(F491,COUNTIFS(F$2:F491,TRUE),"")</f>
        <v>466</v>
      </c>
      <c r="H491" t="str">
        <f t="shared" si="23"/>
        <v>Late 35</v>
      </c>
    </row>
    <row r="492" spans="1:8" x14ac:dyDescent="0.25">
      <c r="A492" t="s">
        <v>143</v>
      </c>
      <c r="B492" t="s">
        <v>139</v>
      </c>
      <c r="C492" t="s">
        <v>135</v>
      </c>
      <c r="D492">
        <v>-79.400000000000006</v>
      </c>
      <c r="E492">
        <f t="shared" si="21"/>
        <v>491</v>
      </c>
      <c r="F492" s="12" t="b">
        <f t="shared" si="22"/>
        <v>1</v>
      </c>
      <c r="G492">
        <f>IF(F492,COUNTIFS(F$2:F492,TRUE),"")</f>
        <v>467</v>
      </c>
      <c r="H492" t="str">
        <f t="shared" si="23"/>
        <v>Early 36</v>
      </c>
    </row>
    <row r="493" spans="1:8" x14ac:dyDescent="0.25">
      <c r="A493" t="s">
        <v>575</v>
      </c>
      <c r="B493" t="s">
        <v>153</v>
      </c>
      <c r="C493" t="s">
        <v>397</v>
      </c>
      <c r="D493">
        <v>-80.099999999999994</v>
      </c>
      <c r="E493">
        <f t="shared" si="21"/>
        <v>492</v>
      </c>
      <c r="F493" s="12" t="b">
        <f t="shared" si="22"/>
        <v>1</v>
      </c>
      <c r="G493">
        <f>IF(F493,COUNTIFS(F$2:F493,TRUE),"")</f>
        <v>468</v>
      </c>
      <c r="H493" t="str">
        <f t="shared" si="23"/>
        <v>Early 36</v>
      </c>
    </row>
    <row r="494" spans="1:8" x14ac:dyDescent="0.25">
      <c r="A494" t="s">
        <v>197</v>
      </c>
      <c r="B494" t="s">
        <v>139</v>
      </c>
      <c r="C494" t="s">
        <v>172</v>
      </c>
      <c r="D494">
        <v>-80.2</v>
      </c>
      <c r="E494">
        <f t="shared" si="21"/>
        <v>493</v>
      </c>
      <c r="F494" s="12" t="b">
        <f t="shared" si="22"/>
        <v>1</v>
      </c>
      <c r="G494">
        <f>IF(F494,COUNTIFS(F$2:F494,TRUE),"")</f>
        <v>469</v>
      </c>
      <c r="H494" t="str">
        <f t="shared" si="23"/>
        <v>Early 36</v>
      </c>
    </row>
    <row r="495" spans="1:8" x14ac:dyDescent="0.25">
      <c r="A495" t="s">
        <v>707</v>
      </c>
      <c r="B495" t="s">
        <v>145</v>
      </c>
      <c r="C495" t="s">
        <v>639</v>
      </c>
      <c r="D495">
        <v>-80.400000000000006</v>
      </c>
      <c r="E495">
        <f t="shared" si="21"/>
        <v>494</v>
      </c>
      <c r="F495" s="12" t="b">
        <f t="shared" si="22"/>
        <v>1</v>
      </c>
      <c r="G495">
        <f>IF(F495,COUNTIFS(F$2:F495,TRUE),"")</f>
        <v>470</v>
      </c>
      <c r="H495" t="str">
        <f t="shared" si="23"/>
        <v>Early 36</v>
      </c>
    </row>
    <row r="496" spans="1:8" x14ac:dyDescent="0.25">
      <c r="A496" t="s">
        <v>544</v>
      </c>
      <c r="B496" t="s">
        <v>145</v>
      </c>
      <c r="C496" t="s">
        <v>417</v>
      </c>
      <c r="D496">
        <v>-80.5</v>
      </c>
      <c r="E496">
        <f t="shared" si="21"/>
        <v>495</v>
      </c>
      <c r="F496" s="12" t="b">
        <f t="shared" si="22"/>
        <v>1</v>
      </c>
      <c r="G496">
        <f>IF(F496,COUNTIFS(F$2:F496,TRUE),"")</f>
        <v>471</v>
      </c>
      <c r="H496" t="str">
        <f t="shared" si="23"/>
        <v>Early 36</v>
      </c>
    </row>
    <row r="497" spans="1:8" x14ac:dyDescent="0.25">
      <c r="A497" t="s">
        <v>670</v>
      </c>
      <c r="B497" t="s">
        <v>182</v>
      </c>
      <c r="C497" t="s">
        <v>639</v>
      </c>
      <c r="D497">
        <v>-80.599999999999994</v>
      </c>
      <c r="E497">
        <f t="shared" si="21"/>
        <v>496</v>
      </c>
      <c r="F497" s="12" t="b">
        <f t="shared" si="22"/>
        <v>1</v>
      </c>
      <c r="G497">
        <f>IF(F497,COUNTIFS(F$2:F497,TRUE),"")</f>
        <v>472</v>
      </c>
      <c r="H497" t="str">
        <f t="shared" si="23"/>
        <v>Mid 36</v>
      </c>
    </row>
    <row r="498" spans="1:8" x14ac:dyDescent="0.25">
      <c r="A498" t="s">
        <v>808</v>
      </c>
      <c r="B498" t="s">
        <v>139</v>
      </c>
      <c r="C498" t="s">
        <v>779</v>
      </c>
      <c r="D498">
        <v>-80.8</v>
      </c>
      <c r="E498">
        <f t="shared" si="21"/>
        <v>498</v>
      </c>
      <c r="F498" s="12" t="b">
        <f t="shared" si="22"/>
        <v>1</v>
      </c>
      <c r="G498">
        <f>IF(F498,COUNTIFS(F$2:F498,TRUE),"")</f>
        <v>473</v>
      </c>
      <c r="H498" t="str">
        <f t="shared" si="23"/>
        <v>Mid 36</v>
      </c>
    </row>
    <row r="499" spans="1:8" x14ac:dyDescent="0.25">
      <c r="A499" t="s">
        <v>212</v>
      </c>
      <c r="B499" t="s">
        <v>145</v>
      </c>
      <c r="C499" t="s">
        <v>162</v>
      </c>
      <c r="D499">
        <v>-80.8</v>
      </c>
      <c r="E499">
        <f t="shared" si="21"/>
        <v>498</v>
      </c>
      <c r="F499" s="12" t="b">
        <f t="shared" si="22"/>
        <v>1</v>
      </c>
      <c r="G499">
        <f>IF(F499,COUNTIFS(F$2:F499,TRUE),"")</f>
        <v>474</v>
      </c>
      <c r="H499" t="str">
        <f t="shared" si="23"/>
        <v>Mid 36</v>
      </c>
    </row>
    <row r="500" spans="1:8" x14ac:dyDescent="0.25">
      <c r="A500" t="s">
        <v>243</v>
      </c>
      <c r="B500" t="s">
        <v>145</v>
      </c>
      <c r="C500" t="s">
        <v>176</v>
      </c>
      <c r="D500">
        <v>-80.8</v>
      </c>
      <c r="E500">
        <f t="shared" si="21"/>
        <v>498</v>
      </c>
      <c r="F500" s="12" t="b">
        <f t="shared" si="22"/>
        <v>1</v>
      </c>
      <c r="G500">
        <f>IF(F500,COUNTIFS(F$2:F500,TRUE),"")</f>
        <v>475</v>
      </c>
      <c r="H500" t="str">
        <f t="shared" si="23"/>
        <v>Mid 36</v>
      </c>
    </row>
    <row r="501" spans="1:8" x14ac:dyDescent="0.25">
      <c r="A501" t="s">
        <v>371</v>
      </c>
      <c r="B501" t="s">
        <v>153</v>
      </c>
      <c r="C501" t="s">
        <v>283</v>
      </c>
      <c r="D501">
        <v>-81</v>
      </c>
      <c r="E501">
        <f t="shared" si="21"/>
        <v>500</v>
      </c>
      <c r="F501" s="12" t="b">
        <f t="shared" si="22"/>
        <v>1</v>
      </c>
      <c r="G501">
        <f>IF(F501,COUNTIFS(F$2:F501,TRUE),"")</f>
        <v>476</v>
      </c>
      <c r="H501" t="str">
        <f t="shared" si="23"/>
        <v>Late 36</v>
      </c>
    </row>
    <row r="502" spans="1:8" x14ac:dyDescent="0.25">
      <c r="A502" t="s">
        <v>345</v>
      </c>
      <c r="B502" t="s">
        <v>145</v>
      </c>
      <c r="C502" t="s">
        <v>283</v>
      </c>
      <c r="D502">
        <v>-81.2</v>
      </c>
      <c r="E502">
        <f t="shared" si="21"/>
        <v>501.5</v>
      </c>
      <c r="F502" s="12" t="b">
        <f t="shared" si="22"/>
        <v>1</v>
      </c>
      <c r="G502">
        <f>IF(F502,COUNTIFS(F$2:F502,TRUE),"")</f>
        <v>477</v>
      </c>
      <c r="H502" t="str">
        <f t="shared" si="23"/>
        <v>Late 36</v>
      </c>
    </row>
    <row r="503" spans="1:8" x14ac:dyDescent="0.25">
      <c r="A503" t="s">
        <v>879</v>
      </c>
      <c r="B503" t="s">
        <v>153</v>
      </c>
      <c r="C503" t="s">
        <v>779</v>
      </c>
      <c r="D503">
        <v>-81.2</v>
      </c>
      <c r="E503">
        <f t="shared" si="21"/>
        <v>501.5</v>
      </c>
      <c r="F503" s="12" t="b">
        <f t="shared" si="22"/>
        <v>1</v>
      </c>
      <c r="G503">
        <f>IF(F503,COUNTIFS(F$2:F503,TRUE),"")</f>
        <v>478</v>
      </c>
      <c r="H503" t="str">
        <f t="shared" si="23"/>
        <v>Late 36</v>
      </c>
    </row>
    <row r="504" spans="1:8" x14ac:dyDescent="0.25">
      <c r="A504" t="s">
        <v>213</v>
      </c>
      <c r="B504" t="s">
        <v>145</v>
      </c>
      <c r="C504" t="s">
        <v>162</v>
      </c>
      <c r="D504">
        <v>-81.3</v>
      </c>
      <c r="E504">
        <f t="shared" si="21"/>
        <v>503.5</v>
      </c>
      <c r="F504" s="12" t="b">
        <f t="shared" si="22"/>
        <v>1</v>
      </c>
      <c r="G504">
        <f>IF(F504,COUNTIFS(F$2:F504,TRUE),"")</f>
        <v>479</v>
      </c>
      <c r="H504" t="str">
        <f t="shared" si="23"/>
        <v>Late 36</v>
      </c>
    </row>
    <row r="505" spans="1:8" x14ac:dyDescent="0.25">
      <c r="A505" t="s">
        <v>708</v>
      </c>
      <c r="B505" t="s">
        <v>145</v>
      </c>
      <c r="C505" t="s">
        <v>639</v>
      </c>
      <c r="D505">
        <v>-81.3</v>
      </c>
      <c r="E505">
        <f t="shared" si="21"/>
        <v>503.5</v>
      </c>
      <c r="F505" s="12" t="b">
        <f t="shared" si="22"/>
        <v>1</v>
      </c>
      <c r="G505">
        <f>IF(F505,COUNTIFS(F$2:F505,TRUE),"")</f>
        <v>480</v>
      </c>
      <c r="H505" t="str">
        <f t="shared" si="23"/>
        <v>Late 36</v>
      </c>
    </row>
    <row r="506" spans="1:8" x14ac:dyDescent="0.25">
      <c r="A506" t="s">
        <v>438</v>
      </c>
      <c r="B506" t="s">
        <v>139</v>
      </c>
      <c r="C506" t="s">
        <v>393</v>
      </c>
      <c r="D506">
        <v>-81.400000000000006</v>
      </c>
      <c r="E506">
        <f t="shared" si="21"/>
        <v>505</v>
      </c>
      <c r="F506" s="12" t="b">
        <f t="shared" si="22"/>
        <v>1</v>
      </c>
      <c r="G506">
        <f>IF(F506,COUNTIFS(F$2:F506,TRUE),"")</f>
        <v>481</v>
      </c>
      <c r="H506" t="str">
        <f t="shared" si="23"/>
        <v>Early 37</v>
      </c>
    </row>
    <row r="507" spans="1:8" x14ac:dyDescent="0.25">
      <c r="A507" t="s">
        <v>489</v>
      </c>
      <c r="B507" t="s">
        <v>139</v>
      </c>
      <c r="C507" t="s">
        <v>430</v>
      </c>
      <c r="D507">
        <v>-81.599999999999994</v>
      </c>
      <c r="E507">
        <f t="shared" si="21"/>
        <v>506</v>
      </c>
      <c r="F507" s="12" t="b">
        <f t="shared" si="22"/>
        <v>1</v>
      </c>
      <c r="G507">
        <f>IF(F507,COUNTIFS(F$2:F507,TRUE),"")</f>
        <v>482</v>
      </c>
      <c r="H507" t="str">
        <f t="shared" si="23"/>
        <v>Early 37</v>
      </c>
    </row>
    <row r="508" spans="1:8" x14ac:dyDescent="0.25">
      <c r="A508" t="s">
        <v>557</v>
      </c>
      <c r="B508" t="s">
        <v>145</v>
      </c>
      <c r="C508" t="s">
        <v>426</v>
      </c>
      <c r="D508">
        <v>-81.7</v>
      </c>
      <c r="E508">
        <f t="shared" si="21"/>
        <v>507</v>
      </c>
      <c r="F508" s="12" t="b">
        <f t="shared" si="22"/>
        <v>1</v>
      </c>
      <c r="G508">
        <f>IF(F508,COUNTIFS(F$2:F508,TRUE),"")</f>
        <v>483</v>
      </c>
      <c r="H508" t="str">
        <f t="shared" si="23"/>
        <v>Early 37</v>
      </c>
    </row>
    <row r="509" spans="1:8" x14ac:dyDescent="0.25">
      <c r="A509" t="s">
        <v>533</v>
      </c>
      <c r="B509" t="s">
        <v>145</v>
      </c>
      <c r="C509" t="s">
        <v>411</v>
      </c>
      <c r="D509">
        <v>-81.900000000000006</v>
      </c>
      <c r="E509">
        <f t="shared" si="21"/>
        <v>508</v>
      </c>
      <c r="F509" s="12" t="b">
        <f t="shared" si="22"/>
        <v>1</v>
      </c>
      <c r="G509">
        <f>IF(F509,COUNTIFS(F$2:F509,TRUE),"")</f>
        <v>484</v>
      </c>
      <c r="H509" t="str">
        <f t="shared" si="23"/>
        <v>Early 37</v>
      </c>
    </row>
    <row r="510" spans="1:8" x14ac:dyDescent="0.25">
      <c r="A510" t="s">
        <v>225</v>
      </c>
      <c r="B510" t="s">
        <v>145</v>
      </c>
      <c r="C510" t="s">
        <v>167</v>
      </c>
      <c r="D510">
        <v>-82.1</v>
      </c>
      <c r="E510">
        <f t="shared" si="21"/>
        <v>509</v>
      </c>
      <c r="F510" s="12" t="b">
        <f t="shared" si="22"/>
        <v>1</v>
      </c>
      <c r="G510">
        <f>IF(F510,COUNTIFS(F$2:F510,TRUE),"")</f>
        <v>485</v>
      </c>
      <c r="H510" t="str">
        <f t="shared" si="23"/>
        <v>Early 37</v>
      </c>
    </row>
    <row r="511" spans="1:8" x14ac:dyDescent="0.25">
      <c r="A511" t="s">
        <v>378</v>
      </c>
      <c r="B511" t="s">
        <v>153</v>
      </c>
      <c r="C511" t="s">
        <v>292</v>
      </c>
      <c r="D511">
        <v>-82.2</v>
      </c>
      <c r="E511">
        <f t="shared" si="21"/>
        <v>510</v>
      </c>
      <c r="F511" s="12" t="b">
        <f t="shared" si="22"/>
        <v>1</v>
      </c>
      <c r="G511">
        <f>IF(F511,COUNTIFS(F$2:F511,TRUE),"")</f>
        <v>486</v>
      </c>
      <c r="H511" t="str">
        <f t="shared" si="23"/>
        <v>Mid 37</v>
      </c>
    </row>
    <row r="512" spans="1:8" x14ac:dyDescent="0.25">
      <c r="A512" t="s">
        <v>841</v>
      </c>
      <c r="B512" t="s">
        <v>145</v>
      </c>
      <c r="C512" t="s">
        <v>774</v>
      </c>
      <c r="D512">
        <v>-82.4</v>
      </c>
      <c r="E512">
        <f t="shared" si="21"/>
        <v>511</v>
      </c>
      <c r="F512" s="12" t="b">
        <f t="shared" si="22"/>
        <v>1</v>
      </c>
      <c r="G512">
        <f>IF(F512,COUNTIFS(F$2:F512,TRUE),"")</f>
        <v>487</v>
      </c>
      <c r="H512" t="str">
        <f t="shared" si="23"/>
        <v>Mid 37</v>
      </c>
    </row>
    <row r="513" spans="1:8" x14ac:dyDescent="0.25">
      <c r="A513" t="s">
        <v>244</v>
      </c>
      <c r="B513" t="s">
        <v>145</v>
      </c>
      <c r="C513" t="s">
        <v>176</v>
      </c>
      <c r="D513">
        <v>-82.7</v>
      </c>
      <c r="E513">
        <f t="shared" si="21"/>
        <v>512</v>
      </c>
      <c r="F513" s="12" t="b">
        <f t="shared" si="22"/>
        <v>1</v>
      </c>
      <c r="G513">
        <f>IF(F513,COUNTIFS(F$2:F513,TRUE),"")</f>
        <v>488</v>
      </c>
      <c r="H513" t="str">
        <f t="shared" si="23"/>
        <v>Mid 37</v>
      </c>
    </row>
    <row r="514" spans="1:8" x14ac:dyDescent="0.25">
      <c r="A514" t="s">
        <v>671</v>
      </c>
      <c r="B514" t="s">
        <v>139</v>
      </c>
      <c r="C514" t="s">
        <v>639</v>
      </c>
      <c r="D514">
        <v>-83.1</v>
      </c>
      <c r="E514">
        <f t="shared" ref="E514:E577" si="24">_xlfn.RANK.AVG(D514,$D$2:$D$738,0)</f>
        <v>513</v>
      </c>
      <c r="F514" s="12" t="b">
        <f t="shared" si="22"/>
        <v>1</v>
      </c>
      <c r="G514">
        <f>IF(F514,COUNTIFS(F$2:F514,TRUE),"")</f>
        <v>489</v>
      </c>
      <c r="H514" t="str">
        <f t="shared" si="23"/>
        <v>Mid 37</v>
      </c>
    </row>
    <row r="515" spans="1:8" x14ac:dyDescent="0.25">
      <c r="A515" t="s">
        <v>565</v>
      </c>
      <c r="B515" t="s">
        <v>145</v>
      </c>
      <c r="C515" t="s">
        <v>430</v>
      </c>
      <c r="D515">
        <v>-83.3</v>
      </c>
      <c r="E515">
        <f t="shared" si="24"/>
        <v>514</v>
      </c>
      <c r="F515" s="12" t="b">
        <f t="shared" ref="F515:F578" si="25">color_fill(E515)</f>
        <v>1</v>
      </c>
      <c r="G515">
        <f>IF(F515,COUNTIFS(F$2:F515,TRUE),"")</f>
        <v>490</v>
      </c>
      <c r="H515" t="str">
        <f t="shared" ref="H515:H578" si="26">VLOOKUP(MOD(E515,14),$Q$2:$R$5,2,TRUE)&amp;" "&amp;_xlfn.CEILING.MATH((E515)/14)</f>
        <v>Late 37</v>
      </c>
    </row>
    <row r="516" spans="1:8" x14ac:dyDescent="0.25">
      <c r="A516" t="s">
        <v>738</v>
      </c>
      <c r="B516" t="s">
        <v>153</v>
      </c>
      <c r="C516" t="s">
        <v>639</v>
      </c>
      <c r="D516">
        <v>-83.5</v>
      </c>
      <c r="E516">
        <f t="shared" si="24"/>
        <v>515</v>
      </c>
      <c r="F516" s="12" t="b">
        <f t="shared" si="25"/>
        <v>1</v>
      </c>
      <c r="G516">
        <f>IF(F516,COUNTIFS(F$2:F516,TRUE),"")</f>
        <v>491</v>
      </c>
      <c r="H516" t="str">
        <f t="shared" si="26"/>
        <v>Late 37</v>
      </c>
    </row>
    <row r="517" spans="1:8" x14ac:dyDescent="0.25">
      <c r="A517" t="s">
        <v>307</v>
      </c>
      <c r="B517" t="s">
        <v>139</v>
      </c>
      <c r="C517" t="s">
        <v>283</v>
      </c>
      <c r="D517">
        <v>-83.6</v>
      </c>
      <c r="E517">
        <f t="shared" si="24"/>
        <v>517</v>
      </c>
      <c r="F517" s="12" t="b">
        <f t="shared" si="25"/>
        <v>1</v>
      </c>
      <c r="G517">
        <f>IF(F517,COUNTIFS(F$2:F517,TRUE),"")</f>
        <v>492</v>
      </c>
      <c r="H517" t="str">
        <f t="shared" si="26"/>
        <v>Late 37</v>
      </c>
    </row>
    <row r="518" spans="1:8" x14ac:dyDescent="0.25">
      <c r="A518" t="s">
        <v>316</v>
      </c>
      <c r="B518" t="s">
        <v>139</v>
      </c>
      <c r="C518" t="s">
        <v>288</v>
      </c>
      <c r="D518">
        <v>-83.6</v>
      </c>
      <c r="E518">
        <f t="shared" si="24"/>
        <v>517</v>
      </c>
      <c r="F518" s="12" t="b">
        <f t="shared" si="25"/>
        <v>1</v>
      </c>
      <c r="G518">
        <f>IF(F518,COUNTIFS(F$2:F518,TRUE),"")</f>
        <v>493</v>
      </c>
      <c r="H518" t="str">
        <f t="shared" si="26"/>
        <v>Late 37</v>
      </c>
    </row>
    <row r="519" spans="1:8" x14ac:dyDescent="0.25">
      <c r="A519" t="s">
        <v>835</v>
      </c>
      <c r="B519" t="s">
        <v>145</v>
      </c>
      <c r="C519" t="s">
        <v>772</v>
      </c>
      <c r="D519">
        <v>-83.6</v>
      </c>
      <c r="E519">
        <f t="shared" si="24"/>
        <v>517</v>
      </c>
      <c r="F519" s="12" t="b">
        <f t="shared" si="25"/>
        <v>1</v>
      </c>
      <c r="G519">
        <f>IF(F519,COUNTIFS(F$2:F519,TRUE),"")</f>
        <v>494</v>
      </c>
      <c r="H519" t="str">
        <f t="shared" si="26"/>
        <v>Late 37</v>
      </c>
    </row>
    <row r="520" spans="1:8" x14ac:dyDescent="0.25">
      <c r="A520" t="s">
        <v>654</v>
      </c>
      <c r="B520" t="s">
        <v>139</v>
      </c>
      <c r="C520" t="s">
        <v>631</v>
      </c>
      <c r="D520">
        <v>-83.7</v>
      </c>
      <c r="E520">
        <f t="shared" si="24"/>
        <v>519</v>
      </c>
      <c r="F520" s="12" t="b">
        <f t="shared" si="25"/>
        <v>1</v>
      </c>
      <c r="G520">
        <f>IF(F520,COUNTIFS(F$2:F520,TRUE),"")</f>
        <v>495</v>
      </c>
      <c r="H520" t="str">
        <f t="shared" si="26"/>
        <v>Early 38</v>
      </c>
    </row>
    <row r="521" spans="1:8" x14ac:dyDescent="0.25">
      <c r="A521" t="s">
        <v>303</v>
      </c>
      <c r="B521" t="s">
        <v>139</v>
      </c>
      <c r="C521" t="s">
        <v>279</v>
      </c>
      <c r="D521">
        <v>-83.8</v>
      </c>
      <c r="E521">
        <f t="shared" si="24"/>
        <v>520</v>
      </c>
      <c r="F521" s="12" t="b">
        <f t="shared" si="25"/>
        <v>1</v>
      </c>
      <c r="G521">
        <f>IF(F521,COUNTIFS(F$2:F521,TRUE),"")</f>
        <v>496</v>
      </c>
      <c r="H521" t="str">
        <f t="shared" si="26"/>
        <v>Early 38</v>
      </c>
    </row>
    <row r="522" spans="1:8" x14ac:dyDescent="0.25">
      <c r="A522" t="s">
        <v>586</v>
      </c>
      <c r="B522" t="s">
        <v>153</v>
      </c>
      <c r="C522" t="s">
        <v>408</v>
      </c>
      <c r="D522">
        <v>-84.1</v>
      </c>
      <c r="E522">
        <f t="shared" si="24"/>
        <v>521</v>
      </c>
      <c r="F522" s="12" t="b">
        <f t="shared" si="25"/>
        <v>1</v>
      </c>
      <c r="G522">
        <f>IF(F522,COUNTIFS(F$2:F522,TRUE),"")</f>
        <v>497</v>
      </c>
      <c r="H522" t="str">
        <f t="shared" si="26"/>
        <v>Early 38</v>
      </c>
    </row>
    <row r="523" spans="1:8" x14ac:dyDescent="0.25">
      <c r="A523" t="s">
        <v>472</v>
      </c>
      <c r="B523" t="s">
        <v>139</v>
      </c>
      <c r="C523" t="s">
        <v>417</v>
      </c>
      <c r="D523">
        <v>-84.2</v>
      </c>
      <c r="E523">
        <f t="shared" si="24"/>
        <v>522</v>
      </c>
      <c r="F523" s="12" t="b">
        <f t="shared" si="25"/>
        <v>1</v>
      </c>
      <c r="G523">
        <f>IF(F523,COUNTIFS(F$2:F523,TRUE),"")</f>
        <v>498</v>
      </c>
      <c r="H523" t="str">
        <f t="shared" si="26"/>
        <v>Early 38</v>
      </c>
    </row>
    <row r="524" spans="1:8" x14ac:dyDescent="0.25">
      <c r="A524" t="s">
        <v>448</v>
      </c>
      <c r="B524" t="s">
        <v>139</v>
      </c>
      <c r="C524" t="s">
        <v>400</v>
      </c>
      <c r="D524">
        <v>-84.4</v>
      </c>
      <c r="E524">
        <f t="shared" si="24"/>
        <v>523.5</v>
      </c>
      <c r="F524" s="12" t="b">
        <f t="shared" si="25"/>
        <v>1</v>
      </c>
      <c r="G524">
        <f>IF(F524,COUNTIFS(F$2:F524,TRUE),"")</f>
        <v>499</v>
      </c>
      <c r="H524" t="str">
        <f t="shared" si="26"/>
        <v>Early 38</v>
      </c>
    </row>
    <row r="525" spans="1:8" x14ac:dyDescent="0.25">
      <c r="A525" t="s">
        <v>449</v>
      </c>
      <c r="B525" t="s">
        <v>182</v>
      </c>
      <c r="C525" t="s">
        <v>400</v>
      </c>
      <c r="D525">
        <v>-84.4</v>
      </c>
      <c r="E525">
        <f t="shared" si="24"/>
        <v>523.5</v>
      </c>
      <c r="F525" s="12" t="b">
        <f t="shared" si="25"/>
        <v>1</v>
      </c>
      <c r="G525">
        <f>IF(F525,COUNTIFS(F$2:F525,TRUE),"")</f>
        <v>500</v>
      </c>
      <c r="H525" t="str">
        <f t="shared" si="26"/>
        <v>Early 38</v>
      </c>
    </row>
    <row r="526" spans="1:8" x14ac:dyDescent="0.25">
      <c r="A526" t="s">
        <v>360</v>
      </c>
      <c r="B526" t="s">
        <v>145</v>
      </c>
      <c r="C526" t="s">
        <v>292</v>
      </c>
      <c r="D526">
        <v>-84.5</v>
      </c>
      <c r="E526">
        <f t="shared" si="24"/>
        <v>525</v>
      </c>
      <c r="F526" s="12" t="b">
        <f t="shared" si="25"/>
        <v>1</v>
      </c>
      <c r="G526">
        <f>IF(F526,COUNTIFS(F$2:F526,TRUE),"")</f>
        <v>501</v>
      </c>
      <c r="H526" t="str">
        <f t="shared" si="26"/>
        <v>Mid 38</v>
      </c>
    </row>
    <row r="527" spans="1:8" x14ac:dyDescent="0.25">
      <c r="A527" t="s">
        <v>184</v>
      </c>
      <c r="B527" t="s">
        <v>139</v>
      </c>
      <c r="C527" t="s">
        <v>162</v>
      </c>
      <c r="D527">
        <v>-84.7</v>
      </c>
      <c r="E527">
        <f t="shared" si="24"/>
        <v>526.5</v>
      </c>
      <c r="F527" s="12" t="b">
        <f t="shared" si="25"/>
        <v>1</v>
      </c>
      <c r="G527">
        <f>IF(F527,COUNTIFS(F$2:F527,TRUE),"")</f>
        <v>502</v>
      </c>
      <c r="H527" t="str">
        <f t="shared" si="26"/>
        <v>Mid 38</v>
      </c>
    </row>
    <row r="528" spans="1:8" x14ac:dyDescent="0.25">
      <c r="A528" t="s">
        <v>245</v>
      </c>
      <c r="B528" t="s">
        <v>145</v>
      </c>
      <c r="C528" t="s">
        <v>176</v>
      </c>
      <c r="D528">
        <v>-84.7</v>
      </c>
      <c r="E528">
        <f t="shared" si="24"/>
        <v>526.5</v>
      </c>
      <c r="F528" s="12" t="b">
        <f t="shared" si="25"/>
        <v>1</v>
      </c>
      <c r="G528">
        <f>IF(F528,COUNTIFS(F$2:F528,TRUE),"")</f>
        <v>503</v>
      </c>
      <c r="H528" t="str">
        <f t="shared" si="26"/>
        <v>Mid 38</v>
      </c>
    </row>
    <row r="529" spans="1:8" x14ac:dyDescent="0.25">
      <c r="A529" t="s">
        <v>467</v>
      </c>
      <c r="B529" t="s">
        <v>182</v>
      </c>
      <c r="C529" t="s">
        <v>411</v>
      </c>
      <c r="D529">
        <v>-84.8</v>
      </c>
      <c r="E529">
        <f t="shared" si="24"/>
        <v>528</v>
      </c>
      <c r="F529" s="12" t="b">
        <f t="shared" si="25"/>
        <v>1</v>
      </c>
      <c r="G529">
        <f>IF(F529,COUNTIFS(F$2:F529,TRUE),"")</f>
        <v>504</v>
      </c>
      <c r="H529" t="str">
        <f t="shared" si="26"/>
        <v>Late 38</v>
      </c>
    </row>
    <row r="530" spans="1:8" x14ac:dyDescent="0.25">
      <c r="A530" t="s">
        <v>490</v>
      </c>
      <c r="B530" t="s">
        <v>139</v>
      </c>
      <c r="C530" t="s">
        <v>430</v>
      </c>
      <c r="D530">
        <v>-85.2</v>
      </c>
      <c r="E530">
        <f t="shared" si="24"/>
        <v>529</v>
      </c>
      <c r="F530" s="12" t="b">
        <f t="shared" si="25"/>
        <v>1</v>
      </c>
      <c r="G530">
        <f>IF(F530,COUNTIFS(F$2:F530,TRUE),"")</f>
        <v>505</v>
      </c>
      <c r="H530" t="str">
        <f t="shared" si="26"/>
        <v>Late 38</v>
      </c>
    </row>
    <row r="531" spans="1:8" x14ac:dyDescent="0.25">
      <c r="A531" t="s">
        <v>484</v>
      </c>
      <c r="B531" t="s">
        <v>139</v>
      </c>
      <c r="C531" t="s">
        <v>426</v>
      </c>
      <c r="D531">
        <v>-85.3</v>
      </c>
      <c r="E531">
        <f t="shared" si="24"/>
        <v>530.5</v>
      </c>
      <c r="F531" s="12" t="b">
        <f t="shared" si="25"/>
        <v>1</v>
      </c>
      <c r="G531">
        <f>IF(F531,COUNTIFS(F$2:F531,TRUE),"")</f>
        <v>506</v>
      </c>
      <c r="H531" t="str">
        <f t="shared" si="26"/>
        <v>Late 38</v>
      </c>
    </row>
    <row r="532" spans="1:8" x14ac:dyDescent="0.25">
      <c r="A532" t="s">
        <v>234</v>
      </c>
      <c r="B532" t="s">
        <v>145</v>
      </c>
      <c r="C532" t="s">
        <v>172</v>
      </c>
      <c r="D532">
        <v>-85.3</v>
      </c>
      <c r="E532">
        <f t="shared" si="24"/>
        <v>530.5</v>
      </c>
      <c r="F532" s="12" t="b">
        <f t="shared" si="25"/>
        <v>1</v>
      </c>
      <c r="G532">
        <f>IF(F532,COUNTIFS(F$2:F532,TRUE),"")</f>
        <v>507</v>
      </c>
      <c r="H532" t="str">
        <f t="shared" si="26"/>
        <v>Late 38</v>
      </c>
    </row>
    <row r="533" spans="1:8" x14ac:dyDescent="0.25">
      <c r="A533" t="s">
        <v>655</v>
      </c>
      <c r="B533" t="s">
        <v>139</v>
      </c>
      <c r="C533" t="s">
        <v>631</v>
      </c>
      <c r="D533">
        <v>-85.7</v>
      </c>
      <c r="E533">
        <f t="shared" si="24"/>
        <v>532.5</v>
      </c>
      <c r="F533" s="12" t="b">
        <f t="shared" si="25"/>
        <v>1</v>
      </c>
      <c r="G533">
        <f>IF(F533,COUNTIFS(F$2:F533,TRUE),"")</f>
        <v>508</v>
      </c>
      <c r="H533" t="str">
        <f t="shared" si="26"/>
        <v>Late 39</v>
      </c>
    </row>
    <row r="534" spans="1:8" x14ac:dyDescent="0.25">
      <c r="A534" t="s">
        <v>666</v>
      </c>
      <c r="B534" t="s">
        <v>139</v>
      </c>
      <c r="C534" t="s">
        <v>635</v>
      </c>
      <c r="D534">
        <v>-85.7</v>
      </c>
      <c r="E534">
        <f t="shared" si="24"/>
        <v>532.5</v>
      </c>
      <c r="F534" s="12" t="b">
        <f t="shared" si="25"/>
        <v>1</v>
      </c>
      <c r="G534">
        <f>IF(F534,COUNTIFS(F$2:F534,TRUE),"")</f>
        <v>509</v>
      </c>
      <c r="H534" t="str">
        <f t="shared" si="26"/>
        <v>Late 39</v>
      </c>
    </row>
    <row r="535" spans="1:8" x14ac:dyDescent="0.25">
      <c r="A535" t="s">
        <v>304</v>
      </c>
      <c r="B535" t="s">
        <v>139</v>
      </c>
      <c r="C535" t="s">
        <v>279</v>
      </c>
      <c r="D535">
        <v>-85.9</v>
      </c>
      <c r="E535">
        <f t="shared" si="24"/>
        <v>534</v>
      </c>
      <c r="F535" s="12" t="b">
        <f t="shared" si="25"/>
        <v>1</v>
      </c>
      <c r="G535">
        <f>IF(F535,COUNTIFS(F$2:F535,TRUE),"")</f>
        <v>510</v>
      </c>
      <c r="H535" t="str">
        <f t="shared" si="26"/>
        <v>Early 39</v>
      </c>
    </row>
    <row r="536" spans="1:8" x14ac:dyDescent="0.25">
      <c r="A536" t="s">
        <v>198</v>
      </c>
      <c r="B536" t="s">
        <v>182</v>
      </c>
      <c r="C536" t="s">
        <v>172</v>
      </c>
      <c r="D536">
        <v>-86.1</v>
      </c>
      <c r="E536">
        <f t="shared" si="24"/>
        <v>535.5</v>
      </c>
      <c r="F536" s="12" t="b">
        <f t="shared" si="25"/>
        <v>1</v>
      </c>
      <c r="G536">
        <f>IF(F536,COUNTIFS(F$2:F536,TRUE),"")</f>
        <v>511</v>
      </c>
      <c r="H536" t="str">
        <f t="shared" si="26"/>
        <v>Early 39</v>
      </c>
    </row>
    <row r="537" spans="1:8" x14ac:dyDescent="0.25">
      <c r="A537" t="s">
        <v>534</v>
      </c>
      <c r="B537" t="s">
        <v>145</v>
      </c>
      <c r="C537" t="s">
        <v>411</v>
      </c>
      <c r="D537">
        <v>-86.1</v>
      </c>
      <c r="E537">
        <f t="shared" si="24"/>
        <v>535.5</v>
      </c>
      <c r="F537" s="12" t="b">
        <f t="shared" si="25"/>
        <v>1</v>
      </c>
      <c r="G537">
        <f>IF(F537,COUNTIFS(F$2:F537,TRUE),"")</f>
        <v>512</v>
      </c>
      <c r="H537" t="str">
        <f t="shared" si="26"/>
        <v>Early 39</v>
      </c>
    </row>
    <row r="538" spans="1:8" x14ac:dyDescent="0.25">
      <c r="A538" t="s">
        <v>479</v>
      </c>
      <c r="B538" t="s">
        <v>139</v>
      </c>
      <c r="C538" t="s">
        <v>421</v>
      </c>
      <c r="D538">
        <v>-86.3</v>
      </c>
      <c r="E538">
        <f t="shared" si="24"/>
        <v>537</v>
      </c>
      <c r="F538" s="12" t="b">
        <f t="shared" si="25"/>
        <v>1</v>
      </c>
      <c r="G538">
        <f>IF(F538,COUNTIFS(F$2:F538,TRUE),"")</f>
        <v>513</v>
      </c>
      <c r="H538" t="str">
        <f t="shared" si="26"/>
        <v>Early 39</v>
      </c>
    </row>
    <row r="539" spans="1:8" x14ac:dyDescent="0.25">
      <c r="A539" t="s">
        <v>498</v>
      </c>
      <c r="B539" t="s">
        <v>145</v>
      </c>
      <c r="C539" t="s">
        <v>393</v>
      </c>
      <c r="D539">
        <v>-86.4</v>
      </c>
      <c r="E539">
        <f t="shared" si="24"/>
        <v>538.5</v>
      </c>
      <c r="F539" s="12" t="b">
        <f t="shared" si="25"/>
        <v>1</v>
      </c>
      <c r="G539">
        <f>IF(F539,COUNTIFS(F$2:F539,TRUE),"")</f>
        <v>514</v>
      </c>
      <c r="H539" t="str">
        <f t="shared" si="26"/>
        <v>Mid 39</v>
      </c>
    </row>
    <row r="540" spans="1:8" x14ac:dyDescent="0.25">
      <c r="A540" t="s">
        <v>254</v>
      </c>
      <c r="B540" t="s">
        <v>153</v>
      </c>
      <c r="C540" t="s">
        <v>167</v>
      </c>
      <c r="D540">
        <v>-86.4</v>
      </c>
      <c r="E540">
        <f t="shared" si="24"/>
        <v>538.5</v>
      </c>
      <c r="F540" s="12" t="b">
        <f t="shared" si="25"/>
        <v>1</v>
      </c>
      <c r="G540">
        <f>IF(F540,COUNTIFS(F$2:F540,TRUE),"")</f>
        <v>515</v>
      </c>
      <c r="H540" t="str">
        <f t="shared" si="26"/>
        <v>Mid 39</v>
      </c>
    </row>
    <row r="541" spans="1:8" x14ac:dyDescent="0.25">
      <c r="A541" t="s">
        <v>473</v>
      </c>
      <c r="B541" t="s">
        <v>139</v>
      </c>
      <c r="C541" t="s">
        <v>417</v>
      </c>
      <c r="D541">
        <v>-86.6</v>
      </c>
      <c r="E541">
        <f t="shared" si="24"/>
        <v>540</v>
      </c>
      <c r="F541" s="12" t="b">
        <f t="shared" si="25"/>
        <v>1</v>
      </c>
      <c r="G541">
        <f>IF(F541,COUNTIFS(F$2:F541,TRUE),"")</f>
        <v>516</v>
      </c>
      <c r="H541" t="str">
        <f t="shared" si="26"/>
        <v>Mid 39</v>
      </c>
    </row>
    <row r="542" spans="1:8" x14ac:dyDescent="0.25">
      <c r="A542" t="s">
        <v>551</v>
      </c>
      <c r="B542" t="s">
        <v>145</v>
      </c>
      <c r="C542" t="s">
        <v>421</v>
      </c>
      <c r="D542">
        <v>-86.8</v>
      </c>
      <c r="E542">
        <f t="shared" si="24"/>
        <v>541</v>
      </c>
      <c r="F542" s="12" t="b">
        <f t="shared" si="25"/>
        <v>1</v>
      </c>
      <c r="G542">
        <f>IF(F542,COUNTIFS(F$2:F542,TRUE),"")</f>
        <v>517</v>
      </c>
      <c r="H542" t="str">
        <f t="shared" si="26"/>
        <v>Mid 39</v>
      </c>
    </row>
    <row r="543" spans="1:8" x14ac:dyDescent="0.25">
      <c r="A543" t="s">
        <v>688</v>
      </c>
      <c r="B543" t="s">
        <v>139</v>
      </c>
      <c r="C543" t="s">
        <v>648</v>
      </c>
      <c r="D543">
        <v>-87.3</v>
      </c>
      <c r="E543">
        <f t="shared" si="24"/>
        <v>542</v>
      </c>
      <c r="F543" s="12" t="b">
        <f t="shared" si="25"/>
        <v>1</v>
      </c>
      <c r="G543">
        <f>IF(F543,COUNTIFS(F$2:F543,TRUE),"")</f>
        <v>518</v>
      </c>
      <c r="H543" t="str">
        <f t="shared" si="26"/>
        <v>Late 39</v>
      </c>
    </row>
    <row r="544" spans="1:8" x14ac:dyDescent="0.25">
      <c r="A544" t="s">
        <v>235</v>
      </c>
      <c r="B544" t="s">
        <v>145</v>
      </c>
      <c r="C544" t="s">
        <v>172</v>
      </c>
      <c r="D544">
        <v>-87.4</v>
      </c>
      <c r="E544">
        <f t="shared" si="24"/>
        <v>543</v>
      </c>
      <c r="F544" s="12" t="b">
        <f t="shared" si="25"/>
        <v>1</v>
      </c>
      <c r="G544">
        <f>IF(F544,COUNTIFS(F$2:F544,TRUE),"")</f>
        <v>519</v>
      </c>
      <c r="H544" t="str">
        <f t="shared" si="26"/>
        <v>Late 39</v>
      </c>
    </row>
    <row r="545" spans="1:8" x14ac:dyDescent="0.25">
      <c r="A545" t="s">
        <v>871</v>
      </c>
      <c r="B545" t="s">
        <v>153</v>
      </c>
      <c r="C545" t="s">
        <v>772</v>
      </c>
      <c r="D545">
        <v>-87.5</v>
      </c>
      <c r="E545">
        <f t="shared" si="24"/>
        <v>544</v>
      </c>
      <c r="F545" s="12" t="b">
        <f t="shared" si="25"/>
        <v>1</v>
      </c>
      <c r="G545">
        <f>IF(F545,COUNTIFS(F$2:F545,TRUE),"")</f>
        <v>520</v>
      </c>
      <c r="H545" t="str">
        <f t="shared" si="26"/>
        <v>Late 39</v>
      </c>
    </row>
    <row r="546" spans="1:8" x14ac:dyDescent="0.25">
      <c r="A546" t="s">
        <v>858</v>
      </c>
      <c r="B546" t="s">
        <v>145</v>
      </c>
      <c r="C546" t="s">
        <v>783</v>
      </c>
      <c r="D546">
        <v>-87.6</v>
      </c>
      <c r="E546">
        <f t="shared" si="24"/>
        <v>545</v>
      </c>
      <c r="F546" s="12" t="b">
        <f t="shared" si="25"/>
        <v>1</v>
      </c>
      <c r="G546">
        <f>IF(F546,COUNTIFS(F$2:F546,TRUE),"")</f>
        <v>521</v>
      </c>
      <c r="H546" t="str">
        <f t="shared" si="26"/>
        <v>Late 39</v>
      </c>
    </row>
    <row r="547" spans="1:8" x14ac:dyDescent="0.25">
      <c r="A547" t="s">
        <v>250</v>
      </c>
      <c r="B547" t="s">
        <v>153</v>
      </c>
      <c r="C547" t="s">
        <v>162</v>
      </c>
      <c r="D547">
        <v>-88</v>
      </c>
      <c r="E547">
        <f t="shared" si="24"/>
        <v>546</v>
      </c>
      <c r="F547" s="12" t="b">
        <f t="shared" si="25"/>
        <v>1</v>
      </c>
      <c r="G547">
        <f>IF(F547,COUNTIFS(F$2:F547,TRUE),"")</f>
        <v>522</v>
      </c>
      <c r="H547" t="str">
        <f t="shared" si="26"/>
        <v>Late 39</v>
      </c>
    </row>
    <row r="548" spans="1:8" x14ac:dyDescent="0.25">
      <c r="A548" t="s">
        <v>150</v>
      </c>
      <c r="B548" t="s">
        <v>145</v>
      </c>
      <c r="C548" t="s">
        <v>135</v>
      </c>
      <c r="D548">
        <v>-88.2</v>
      </c>
      <c r="E548">
        <f t="shared" si="24"/>
        <v>547.5</v>
      </c>
      <c r="F548" s="12" t="b">
        <f t="shared" si="25"/>
        <v>1</v>
      </c>
      <c r="G548">
        <f>IF(F548,COUNTIFS(F$2:F548,TRUE),"")</f>
        <v>523</v>
      </c>
      <c r="H548" t="str">
        <f t="shared" si="26"/>
        <v>Early 40</v>
      </c>
    </row>
    <row r="549" spans="1:8" x14ac:dyDescent="0.25">
      <c r="A549" t="s">
        <v>889</v>
      </c>
      <c r="B549" t="s">
        <v>153</v>
      </c>
      <c r="C549" t="s">
        <v>787</v>
      </c>
      <c r="D549">
        <v>-88.2</v>
      </c>
      <c r="E549">
        <f t="shared" si="24"/>
        <v>547.5</v>
      </c>
      <c r="F549" s="12" t="b">
        <f t="shared" si="25"/>
        <v>1</v>
      </c>
      <c r="G549">
        <f>IF(F549,COUNTIFS(F$2:F549,TRUE),"")</f>
        <v>524</v>
      </c>
      <c r="H549" t="str">
        <f t="shared" si="26"/>
        <v>Early 40</v>
      </c>
    </row>
    <row r="550" spans="1:8" x14ac:dyDescent="0.25">
      <c r="A550" t="s">
        <v>308</v>
      </c>
      <c r="B550" t="s">
        <v>139</v>
      </c>
      <c r="C550" t="s">
        <v>283</v>
      </c>
      <c r="D550">
        <v>-88.4</v>
      </c>
      <c r="E550">
        <f t="shared" si="24"/>
        <v>549.5</v>
      </c>
      <c r="F550" s="12" t="b">
        <f t="shared" si="25"/>
        <v>1</v>
      </c>
      <c r="G550">
        <f>IF(F550,COUNTIFS(F$2:F550,TRUE),"")</f>
        <v>525</v>
      </c>
      <c r="H550" t="str">
        <f t="shared" si="26"/>
        <v>Early 40</v>
      </c>
    </row>
    <row r="551" spans="1:8" x14ac:dyDescent="0.25">
      <c r="A551" t="s">
        <v>656</v>
      </c>
      <c r="B551" t="s">
        <v>182</v>
      </c>
      <c r="C551" t="s">
        <v>631</v>
      </c>
      <c r="D551">
        <v>-88.4</v>
      </c>
      <c r="E551">
        <f t="shared" si="24"/>
        <v>549.5</v>
      </c>
      <c r="F551" s="12" t="b">
        <f t="shared" si="25"/>
        <v>1</v>
      </c>
      <c r="G551">
        <f>IF(F551,COUNTIFS(F$2:F551,TRUE),"")</f>
        <v>526</v>
      </c>
      <c r="H551" t="str">
        <f t="shared" si="26"/>
        <v>Early 40</v>
      </c>
    </row>
    <row r="552" spans="1:8" x14ac:dyDescent="0.25">
      <c r="A552" t="s">
        <v>236</v>
      </c>
      <c r="B552" t="s">
        <v>145</v>
      </c>
      <c r="C552" t="s">
        <v>172</v>
      </c>
      <c r="D552">
        <v>-88.5</v>
      </c>
      <c r="E552">
        <f t="shared" si="24"/>
        <v>552</v>
      </c>
      <c r="F552" s="12" t="b">
        <f t="shared" si="25"/>
        <v>1</v>
      </c>
      <c r="G552">
        <f>IF(F552,COUNTIFS(F$2:F552,TRUE),"")</f>
        <v>527</v>
      </c>
      <c r="H552" t="str">
        <f t="shared" si="26"/>
        <v>Mid 40</v>
      </c>
    </row>
    <row r="553" spans="1:8" x14ac:dyDescent="0.25">
      <c r="A553" t="s">
        <v>138</v>
      </c>
      <c r="B553" t="s">
        <v>153</v>
      </c>
      <c r="C553" t="s">
        <v>648</v>
      </c>
      <c r="D553">
        <v>-88.5</v>
      </c>
      <c r="E553">
        <f t="shared" si="24"/>
        <v>552</v>
      </c>
      <c r="F553" s="12" t="b">
        <f t="shared" si="25"/>
        <v>1</v>
      </c>
      <c r="G553">
        <f>IF(F553,COUNTIFS(F$2:F553,TRUE),"")</f>
        <v>528</v>
      </c>
      <c r="H553" t="str">
        <f t="shared" si="26"/>
        <v>Mid 40</v>
      </c>
    </row>
    <row r="554" spans="1:8" x14ac:dyDescent="0.25">
      <c r="A554" t="s">
        <v>880</v>
      </c>
      <c r="B554" t="s">
        <v>153</v>
      </c>
      <c r="C554" t="s">
        <v>779</v>
      </c>
      <c r="D554">
        <v>-88.5</v>
      </c>
      <c r="E554">
        <f t="shared" si="24"/>
        <v>552</v>
      </c>
      <c r="F554" s="12" t="b">
        <f t="shared" si="25"/>
        <v>1</v>
      </c>
      <c r="G554">
        <f>IF(F554,COUNTIFS(F$2:F554,TRUE),"")</f>
        <v>529</v>
      </c>
      <c r="H554" t="str">
        <f t="shared" si="26"/>
        <v>Mid 40</v>
      </c>
    </row>
    <row r="555" spans="1:8" x14ac:dyDescent="0.25">
      <c r="A555" t="s">
        <v>337</v>
      </c>
      <c r="B555" t="s">
        <v>145</v>
      </c>
      <c r="C555" t="s">
        <v>279</v>
      </c>
      <c r="D555">
        <v>-88.6</v>
      </c>
      <c r="E555">
        <f t="shared" si="24"/>
        <v>555</v>
      </c>
      <c r="F555" s="12" t="b">
        <f t="shared" si="25"/>
        <v>1</v>
      </c>
      <c r="G555">
        <f>IF(F555,COUNTIFS(F$2:F555,TRUE),"")</f>
        <v>530</v>
      </c>
      <c r="H555" t="str">
        <f t="shared" si="26"/>
        <v>Mid 40</v>
      </c>
    </row>
    <row r="556" spans="1:8" x14ac:dyDescent="0.25">
      <c r="A556" t="s">
        <v>156</v>
      </c>
      <c r="B556" t="s">
        <v>153</v>
      </c>
      <c r="C556" t="s">
        <v>135</v>
      </c>
      <c r="D556">
        <v>-88.6</v>
      </c>
      <c r="E556">
        <f t="shared" si="24"/>
        <v>555</v>
      </c>
      <c r="F556" s="12" t="b">
        <f t="shared" si="25"/>
        <v>1</v>
      </c>
      <c r="G556">
        <f>IF(F556,COUNTIFS(F$2:F556,TRUE),"")</f>
        <v>531</v>
      </c>
      <c r="H556" t="str">
        <f t="shared" si="26"/>
        <v>Mid 40</v>
      </c>
    </row>
    <row r="557" spans="1:8" x14ac:dyDescent="0.25">
      <c r="A557" t="s">
        <v>582</v>
      </c>
      <c r="B557" t="s">
        <v>153</v>
      </c>
      <c r="C557" t="s">
        <v>404</v>
      </c>
      <c r="D557">
        <v>-88.6</v>
      </c>
      <c r="E557">
        <f t="shared" si="24"/>
        <v>555</v>
      </c>
      <c r="F557" s="12" t="b">
        <f t="shared" si="25"/>
        <v>1</v>
      </c>
      <c r="G557">
        <f>IF(F557,COUNTIFS(F$2:F557,TRUE),"")</f>
        <v>532</v>
      </c>
      <c r="H557" t="str">
        <f t="shared" si="26"/>
        <v>Mid 40</v>
      </c>
    </row>
    <row r="558" spans="1:8" x14ac:dyDescent="0.25">
      <c r="A558" t="s">
        <v>379</v>
      </c>
      <c r="B558" t="s">
        <v>153</v>
      </c>
      <c r="C558" t="s">
        <v>292</v>
      </c>
      <c r="D558">
        <v>-89.2</v>
      </c>
      <c r="E558">
        <f t="shared" si="24"/>
        <v>557</v>
      </c>
      <c r="F558" s="12" t="b">
        <f t="shared" si="25"/>
        <v>1</v>
      </c>
      <c r="G558">
        <f>IF(F558,COUNTIFS(F$2:F558,TRUE),"")</f>
        <v>533</v>
      </c>
      <c r="H558" t="str">
        <f t="shared" si="26"/>
        <v>Late 40</v>
      </c>
    </row>
    <row r="559" spans="1:8" x14ac:dyDescent="0.25">
      <c r="A559" t="s">
        <v>361</v>
      </c>
      <c r="B559" t="s">
        <v>145</v>
      </c>
      <c r="C559" t="s">
        <v>292</v>
      </c>
      <c r="D559">
        <v>-89.4</v>
      </c>
      <c r="E559">
        <f t="shared" si="24"/>
        <v>558</v>
      </c>
      <c r="F559" s="12" t="b">
        <f t="shared" si="25"/>
        <v>1</v>
      </c>
      <c r="G559">
        <f>IF(F559,COUNTIFS(F$2:F559,TRUE),"")</f>
        <v>534</v>
      </c>
      <c r="H559" t="str">
        <f t="shared" si="26"/>
        <v>Late 40</v>
      </c>
    </row>
    <row r="560" spans="1:8" x14ac:dyDescent="0.25">
      <c r="A560" t="s">
        <v>809</v>
      </c>
      <c r="B560" t="s">
        <v>139</v>
      </c>
      <c r="C560" t="s">
        <v>779</v>
      </c>
      <c r="D560">
        <v>-89.5</v>
      </c>
      <c r="E560">
        <f t="shared" si="24"/>
        <v>559.5</v>
      </c>
      <c r="F560" s="12" t="b">
        <f t="shared" si="25"/>
        <v>1</v>
      </c>
      <c r="G560">
        <f>IF(F560,COUNTIFS(F$2:F560,TRUE),"")</f>
        <v>535</v>
      </c>
      <c r="H560" t="str">
        <f t="shared" si="26"/>
        <v>Late 40</v>
      </c>
    </row>
    <row r="561" spans="1:8" x14ac:dyDescent="0.25">
      <c r="A561" t="s">
        <v>867</v>
      </c>
      <c r="B561" t="s">
        <v>153</v>
      </c>
      <c r="C561" t="s">
        <v>768</v>
      </c>
      <c r="D561">
        <v>-89.5</v>
      </c>
      <c r="E561">
        <f t="shared" si="24"/>
        <v>559.5</v>
      </c>
      <c r="F561" s="12" t="b">
        <f t="shared" si="25"/>
        <v>1</v>
      </c>
      <c r="G561">
        <f>IF(F561,COUNTIFS(F$2:F561,TRUE),"")</f>
        <v>536</v>
      </c>
      <c r="H561" t="str">
        <f t="shared" si="26"/>
        <v>Late 40</v>
      </c>
    </row>
    <row r="562" spans="1:8" x14ac:dyDescent="0.25">
      <c r="A562" t="s">
        <v>309</v>
      </c>
      <c r="B562" t="s">
        <v>182</v>
      </c>
      <c r="C562" t="s">
        <v>283</v>
      </c>
      <c r="D562">
        <v>-89.6</v>
      </c>
      <c r="E562">
        <f t="shared" si="24"/>
        <v>561</v>
      </c>
      <c r="F562" s="12" t="b">
        <f t="shared" si="25"/>
        <v>1</v>
      </c>
      <c r="G562">
        <f>IF(F562,COUNTIFS(F$2:F562,TRUE),"")</f>
        <v>537</v>
      </c>
      <c r="H562" t="str">
        <f t="shared" si="26"/>
        <v>Early 41</v>
      </c>
    </row>
    <row r="563" spans="1:8" x14ac:dyDescent="0.25">
      <c r="A563" t="s">
        <v>346</v>
      </c>
      <c r="B563" t="s">
        <v>145</v>
      </c>
      <c r="C563" t="s">
        <v>283</v>
      </c>
      <c r="D563">
        <v>-90.1</v>
      </c>
      <c r="E563">
        <f t="shared" si="24"/>
        <v>562</v>
      </c>
      <c r="F563" s="12" t="b">
        <f t="shared" si="25"/>
        <v>1</v>
      </c>
      <c r="G563">
        <f>IF(F563,COUNTIFS(F$2:F563,TRUE),"")</f>
        <v>538</v>
      </c>
      <c r="H563" t="str">
        <f t="shared" si="26"/>
        <v>Early 41</v>
      </c>
    </row>
    <row r="564" spans="1:8" x14ac:dyDescent="0.25">
      <c r="A564" t="s">
        <v>214</v>
      </c>
      <c r="B564" t="s">
        <v>145</v>
      </c>
      <c r="C564" t="s">
        <v>162</v>
      </c>
      <c r="D564">
        <v>-90.4</v>
      </c>
      <c r="E564">
        <f t="shared" si="24"/>
        <v>563</v>
      </c>
      <c r="F564" s="12" t="b">
        <f t="shared" si="25"/>
        <v>1</v>
      </c>
      <c r="G564">
        <f>IF(F564,COUNTIFS(F$2:F564,TRUE),"")</f>
        <v>539</v>
      </c>
      <c r="H564" t="str">
        <f t="shared" si="26"/>
        <v>Early 41</v>
      </c>
    </row>
    <row r="565" spans="1:8" x14ac:dyDescent="0.25">
      <c r="A565" t="s">
        <v>519</v>
      </c>
      <c r="B565" t="s">
        <v>145</v>
      </c>
      <c r="C565" t="s">
        <v>404</v>
      </c>
      <c r="D565">
        <v>-90.7</v>
      </c>
      <c r="E565">
        <f t="shared" si="24"/>
        <v>564</v>
      </c>
      <c r="F565" s="12" t="b">
        <f t="shared" si="25"/>
        <v>1</v>
      </c>
      <c r="G565">
        <f>IF(F565,COUNTIFS(F$2:F565,TRUE),"")</f>
        <v>540</v>
      </c>
      <c r="H565" t="str">
        <f t="shared" si="26"/>
        <v>Early 41</v>
      </c>
    </row>
    <row r="566" spans="1:8" x14ac:dyDescent="0.25">
      <c r="A566" t="s">
        <v>749</v>
      </c>
      <c r="B566" t="s">
        <v>153</v>
      </c>
      <c r="C566" t="s">
        <v>648</v>
      </c>
      <c r="D566">
        <v>-90.8</v>
      </c>
      <c r="E566">
        <f t="shared" si="24"/>
        <v>565</v>
      </c>
      <c r="F566" s="12" t="b">
        <f t="shared" si="25"/>
        <v>1</v>
      </c>
      <c r="G566">
        <f>IF(F566,COUNTIFS(F$2:F566,TRUE),"")</f>
        <v>541</v>
      </c>
      <c r="H566" t="str">
        <f t="shared" si="26"/>
        <v>Early 41</v>
      </c>
    </row>
    <row r="567" spans="1:8" x14ac:dyDescent="0.25">
      <c r="A567" t="s">
        <v>657</v>
      </c>
      <c r="B567" t="s">
        <v>182</v>
      </c>
      <c r="C567" t="s">
        <v>631</v>
      </c>
      <c r="D567">
        <v>-91</v>
      </c>
      <c r="E567">
        <f t="shared" si="24"/>
        <v>566</v>
      </c>
      <c r="F567" s="12" t="b">
        <f t="shared" si="25"/>
        <v>1</v>
      </c>
      <c r="G567">
        <f>IF(F567,COUNTIFS(F$2:F567,TRUE),"")</f>
        <v>542</v>
      </c>
      <c r="H567" t="str">
        <f t="shared" si="26"/>
        <v>Mid 41</v>
      </c>
    </row>
    <row r="568" spans="1:8" x14ac:dyDescent="0.25">
      <c r="A568" t="s">
        <v>499</v>
      </c>
      <c r="B568" t="s">
        <v>145</v>
      </c>
      <c r="C568" t="s">
        <v>393</v>
      </c>
      <c r="D568">
        <v>-91.1</v>
      </c>
      <c r="E568">
        <f t="shared" si="24"/>
        <v>567</v>
      </c>
      <c r="F568" s="12" t="b">
        <f t="shared" si="25"/>
        <v>1</v>
      </c>
      <c r="G568">
        <f>IF(F568,COUNTIFS(F$2:F568,TRUE),"")</f>
        <v>543</v>
      </c>
      <c r="H568" t="str">
        <f t="shared" si="26"/>
        <v>Mid 41</v>
      </c>
    </row>
    <row r="569" spans="1:8" x14ac:dyDescent="0.25">
      <c r="A569" t="s">
        <v>192</v>
      </c>
      <c r="B569" t="s">
        <v>139</v>
      </c>
      <c r="C569" t="s">
        <v>167</v>
      </c>
      <c r="D569">
        <v>-91.8</v>
      </c>
      <c r="E569">
        <f t="shared" si="24"/>
        <v>568</v>
      </c>
      <c r="F569" s="12" t="b">
        <f t="shared" si="25"/>
        <v>1</v>
      </c>
      <c r="G569">
        <f>IF(F569,COUNTIFS(F$2:F569,TRUE),"")</f>
        <v>544</v>
      </c>
      <c r="H569" t="str">
        <f t="shared" si="26"/>
        <v>Mid 41</v>
      </c>
    </row>
    <row r="570" spans="1:8" x14ac:dyDescent="0.25">
      <c r="A570" t="s">
        <v>594</v>
      </c>
      <c r="B570" t="s">
        <v>153</v>
      </c>
      <c r="C570" t="s">
        <v>417</v>
      </c>
      <c r="D570">
        <v>-91.9</v>
      </c>
      <c r="E570">
        <f t="shared" si="24"/>
        <v>569</v>
      </c>
      <c r="F570" s="12" t="b">
        <f t="shared" si="25"/>
        <v>1</v>
      </c>
      <c r="G570">
        <f>IF(F570,COUNTIFS(F$2:F570,TRUE),"")</f>
        <v>545</v>
      </c>
      <c r="H570" t="str">
        <f t="shared" si="26"/>
        <v>Mid 41</v>
      </c>
    </row>
    <row r="571" spans="1:8" x14ac:dyDescent="0.25">
      <c r="A571" t="s">
        <v>206</v>
      </c>
      <c r="B571" t="s">
        <v>139</v>
      </c>
      <c r="C571" t="s">
        <v>176</v>
      </c>
      <c r="D571">
        <v>-92.7</v>
      </c>
      <c r="E571">
        <f t="shared" si="24"/>
        <v>570</v>
      </c>
      <c r="F571" s="12" t="b">
        <f t="shared" si="25"/>
        <v>1</v>
      </c>
      <c r="G571">
        <f>IF(F571,COUNTIFS(F$2:F571,TRUE),"")</f>
        <v>546</v>
      </c>
      <c r="H571" t="str">
        <f t="shared" si="26"/>
        <v>Late 41</v>
      </c>
    </row>
    <row r="572" spans="1:8" x14ac:dyDescent="0.25">
      <c r="A572" t="s">
        <v>834</v>
      </c>
      <c r="B572" t="s">
        <v>145</v>
      </c>
      <c r="C572" t="s">
        <v>772</v>
      </c>
      <c r="D572">
        <v>-93.1</v>
      </c>
      <c r="E572">
        <f t="shared" si="24"/>
        <v>571</v>
      </c>
      <c r="F572" s="12" t="b">
        <f t="shared" si="25"/>
        <v>1</v>
      </c>
      <c r="G572">
        <f>IF(F572,COUNTIFS(F$2:F572,TRUE),"")</f>
        <v>547</v>
      </c>
      <c r="H572" t="str">
        <f t="shared" si="26"/>
        <v>Late 41</v>
      </c>
    </row>
    <row r="573" spans="1:8" x14ac:dyDescent="0.25">
      <c r="A573" t="s">
        <v>535</v>
      </c>
      <c r="B573" t="s">
        <v>145</v>
      </c>
      <c r="C573" t="s">
        <v>411</v>
      </c>
      <c r="D573">
        <v>-93.6</v>
      </c>
      <c r="E573">
        <f t="shared" si="24"/>
        <v>572</v>
      </c>
      <c r="F573" s="12" t="b">
        <f t="shared" si="25"/>
        <v>1</v>
      </c>
      <c r="G573">
        <f>IF(F573,COUNTIFS(F$2:F573,TRUE),"")</f>
        <v>548</v>
      </c>
      <c r="H573" t="str">
        <f t="shared" si="26"/>
        <v>Late 41</v>
      </c>
    </row>
    <row r="574" spans="1:8" x14ac:dyDescent="0.25">
      <c r="A574" t="s">
        <v>369</v>
      </c>
      <c r="B574" t="s">
        <v>153</v>
      </c>
      <c r="C574" t="s">
        <v>279</v>
      </c>
      <c r="D574">
        <v>-93.7</v>
      </c>
      <c r="E574">
        <f t="shared" si="24"/>
        <v>573</v>
      </c>
      <c r="F574" s="12" t="b">
        <f t="shared" si="25"/>
        <v>1</v>
      </c>
      <c r="G574">
        <f>IF(F574,COUNTIFS(F$2:F574,TRUE),"")</f>
        <v>549</v>
      </c>
      <c r="H574" t="str">
        <f t="shared" si="26"/>
        <v>Late 41</v>
      </c>
    </row>
    <row r="575" spans="1:8" x14ac:dyDescent="0.25">
      <c r="A575" t="s">
        <v>439</v>
      </c>
      <c r="B575" t="s">
        <v>139</v>
      </c>
      <c r="C575" t="s">
        <v>393</v>
      </c>
      <c r="D575">
        <v>-94</v>
      </c>
      <c r="E575">
        <f t="shared" si="24"/>
        <v>574</v>
      </c>
      <c r="F575" s="12" t="b">
        <f t="shared" si="25"/>
        <v>1</v>
      </c>
      <c r="G575">
        <f>IF(F575,COUNTIFS(F$2:F575,TRUE),"")</f>
        <v>550</v>
      </c>
      <c r="H575" t="str">
        <f t="shared" si="26"/>
        <v>Late 41</v>
      </c>
    </row>
    <row r="576" spans="1:8" x14ac:dyDescent="0.25">
      <c r="A576" t="s">
        <v>455</v>
      </c>
      <c r="B576" t="s">
        <v>139</v>
      </c>
      <c r="C576" t="s">
        <v>404</v>
      </c>
      <c r="D576">
        <v>-94.3</v>
      </c>
      <c r="E576">
        <f t="shared" si="24"/>
        <v>575.5</v>
      </c>
      <c r="F576" s="12" t="b">
        <f t="shared" si="25"/>
        <v>1</v>
      </c>
      <c r="G576">
        <f>IF(F576,COUNTIFS(F$2:F576,TRUE),"")</f>
        <v>551</v>
      </c>
      <c r="H576" t="str">
        <f t="shared" si="26"/>
        <v>Early 42</v>
      </c>
    </row>
    <row r="577" spans="1:8" x14ac:dyDescent="0.25">
      <c r="A577" t="s">
        <v>151</v>
      </c>
      <c r="B577" t="s">
        <v>145</v>
      </c>
      <c r="C577" t="s">
        <v>135</v>
      </c>
      <c r="D577">
        <v>-94.3</v>
      </c>
      <c r="E577">
        <f t="shared" si="24"/>
        <v>575.5</v>
      </c>
      <c r="F577" s="12" t="b">
        <f t="shared" si="25"/>
        <v>1</v>
      </c>
      <c r="G577">
        <f>IF(F577,COUNTIFS(F$2:F577,TRUE),"")</f>
        <v>552</v>
      </c>
      <c r="H577" t="str">
        <f t="shared" si="26"/>
        <v>Early 42</v>
      </c>
    </row>
    <row r="578" spans="1:8" x14ac:dyDescent="0.25">
      <c r="A578" t="s">
        <v>680</v>
      </c>
      <c r="B578" t="s">
        <v>139</v>
      </c>
      <c r="C578" t="s">
        <v>644</v>
      </c>
      <c r="D578">
        <v>-94.4</v>
      </c>
      <c r="E578">
        <f t="shared" ref="E578:E641" si="27">_xlfn.RANK.AVG(D578,$D$2:$D$738,0)</f>
        <v>577</v>
      </c>
      <c r="F578" s="12" t="b">
        <f t="shared" si="25"/>
        <v>1</v>
      </c>
      <c r="G578">
        <f>IF(F578,COUNTIFS(F$2:F578,TRUE),"")</f>
        <v>553</v>
      </c>
      <c r="H578" t="str">
        <f t="shared" si="26"/>
        <v>Early 42</v>
      </c>
    </row>
    <row r="579" spans="1:8" x14ac:dyDescent="0.25">
      <c r="A579" t="s">
        <v>700</v>
      </c>
      <c r="B579" t="s">
        <v>145</v>
      </c>
      <c r="C579" t="s">
        <v>635</v>
      </c>
      <c r="D579">
        <v>-94.5</v>
      </c>
      <c r="E579">
        <f t="shared" si="27"/>
        <v>578</v>
      </c>
      <c r="F579" s="12" t="b">
        <f t="shared" ref="F579:F642" si="28">color_fill(E579)</f>
        <v>1</v>
      </c>
      <c r="G579">
        <f>IF(F579,COUNTIFS(F$2:F579,TRUE),"")</f>
        <v>554</v>
      </c>
      <c r="H579" t="str">
        <f t="shared" ref="H579:H642" si="29">VLOOKUP(MOD(E579,14),$Q$2:$R$5,2,TRUE)&amp;" "&amp;_xlfn.CEILING.MATH((E579)/14)</f>
        <v>Early 42</v>
      </c>
    </row>
    <row r="580" spans="1:8" x14ac:dyDescent="0.25">
      <c r="A580" t="s">
        <v>658</v>
      </c>
      <c r="B580" t="s">
        <v>139</v>
      </c>
      <c r="C580" t="s">
        <v>631</v>
      </c>
      <c r="D580">
        <v>-94.6</v>
      </c>
      <c r="E580">
        <f t="shared" si="27"/>
        <v>579.5</v>
      </c>
      <c r="F580" s="12" t="b">
        <f t="shared" si="28"/>
        <v>1</v>
      </c>
      <c r="G580">
        <f>IF(F580,COUNTIFS(F$2:F580,TRUE),"")</f>
        <v>555</v>
      </c>
      <c r="H580" t="str">
        <f t="shared" si="29"/>
        <v>Early 42</v>
      </c>
    </row>
    <row r="581" spans="1:8" x14ac:dyDescent="0.25">
      <c r="A581" t="s">
        <v>259</v>
      </c>
      <c r="B581" t="s">
        <v>153</v>
      </c>
      <c r="C581" t="s">
        <v>172</v>
      </c>
      <c r="D581">
        <v>-94.6</v>
      </c>
      <c r="E581">
        <f t="shared" si="27"/>
        <v>579.5</v>
      </c>
      <c r="F581" s="12" t="b">
        <f t="shared" si="28"/>
        <v>1</v>
      </c>
      <c r="G581">
        <f>IF(F581,COUNTIFS(F$2:F581,TRUE),"")</f>
        <v>556</v>
      </c>
      <c r="H581" t="str">
        <f t="shared" si="29"/>
        <v>Early 42</v>
      </c>
    </row>
    <row r="582" spans="1:8" x14ac:dyDescent="0.25">
      <c r="A582" t="s">
        <v>884</v>
      </c>
      <c r="B582" t="s">
        <v>153</v>
      </c>
      <c r="C582" t="s">
        <v>783</v>
      </c>
      <c r="D582">
        <v>-94.7</v>
      </c>
      <c r="E582">
        <f t="shared" si="27"/>
        <v>581</v>
      </c>
      <c r="F582" s="12" t="b">
        <f t="shared" si="28"/>
        <v>1</v>
      </c>
      <c r="G582">
        <f>IF(F582,COUNTIFS(F$2:F582,TRUE),"")</f>
        <v>557</v>
      </c>
      <c r="H582" t="str">
        <f t="shared" si="29"/>
        <v>Mid 42</v>
      </c>
    </row>
    <row r="583" spans="1:8" x14ac:dyDescent="0.25">
      <c r="A583" t="s">
        <v>317</v>
      </c>
      <c r="B583" t="s">
        <v>139</v>
      </c>
      <c r="C583" t="s">
        <v>288</v>
      </c>
      <c r="D583">
        <v>-94.8</v>
      </c>
      <c r="E583">
        <f t="shared" si="27"/>
        <v>583</v>
      </c>
      <c r="F583" s="12" t="b">
        <f t="shared" si="28"/>
        <v>1</v>
      </c>
      <c r="G583">
        <f>IF(F583,COUNTIFS(F$2:F583,TRUE),"")</f>
        <v>558</v>
      </c>
      <c r="H583" t="str">
        <f t="shared" si="29"/>
        <v>Mid 42</v>
      </c>
    </row>
    <row r="584" spans="1:8" x14ac:dyDescent="0.25">
      <c r="A584" t="s">
        <v>310</v>
      </c>
      <c r="B584" t="s">
        <v>139</v>
      </c>
      <c r="C584" t="s">
        <v>283</v>
      </c>
      <c r="D584">
        <v>-94.8</v>
      </c>
      <c r="E584">
        <f t="shared" si="27"/>
        <v>583</v>
      </c>
      <c r="F584" s="12" t="b">
        <f t="shared" si="28"/>
        <v>1</v>
      </c>
      <c r="G584">
        <f>IF(F584,COUNTIFS(F$2:F584,TRUE),"")</f>
        <v>559</v>
      </c>
      <c r="H584" t="str">
        <f t="shared" si="29"/>
        <v>Mid 42</v>
      </c>
    </row>
    <row r="585" spans="1:8" x14ac:dyDescent="0.25">
      <c r="A585" t="s">
        <v>850</v>
      </c>
      <c r="B585" t="s">
        <v>145</v>
      </c>
      <c r="C585" t="s">
        <v>779</v>
      </c>
      <c r="D585">
        <v>-94.8</v>
      </c>
      <c r="E585">
        <f t="shared" si="27"/>
        <v>583</v>
      </c>
      <c r="F585" s="12" t="b">
        <f t="shared" si="28"/>
        <v>1</v>
      </c>
      <c r="G585">
        <f>IF(F585,COUNTIFS(F$2:F585,TRUE),"")</f>
        <v>560</v>
      </c>
      <c r="H585" t="str">
        <f t="shared" si="29"/>
        <v>Mid 42</v>
      </c>
    </row>
    <row r="586" spans="1:8" x14ac:dyDescent="0.25">
      <c r="A586" t="s">
        <v>450</v>
      </c>
      <c r="B586" t="s">
        <v>139</v>
      </c>
      <c r="C586" t="s">
        <v>400</v>
      </c>
      <c r="D586">
        <v>-94.9</v>
      </c>
      <c r="E586">
        <f t="shared" si="27"/>
        <v>589.5</v>
      </c>
      <c r="F586" s="12" t="b">
        <f t="shared" si="28"/>
        <v>1</v>
      </c>
      <c r="G586">
        <f>IF(F586,COUNTIFS(F$2:F586,TRUE),"")</f>
        <v>561</v>
      </c>
      <c r="H586" t="str">
        <f t="shared" si="29"/>
        <v>Early 43</v>
      </c>
    </row>
    <row r="587" spans="1:8" x14ac:dyDescent="0.25">
      <c r="A587" t="s">
        <v>456</v>
      </c>
      <c r="B587" t="s">
        <v>139</v>
      </c>
      <c r="C587" t="s">
        <v>404</v>
      </c>
      <c r="D587">
        <v>-94.9</v>
      </c>
      <c r="E587">
        <f t="shared" si="27"/>
        <v>589.5</v>
      </c>
      <c r="F587" s="12" t="b">
        <f t="shared" si="28"/>
        <v>1</v>
      </c>
      <c r="G587">
        <f>IF(F587,COUNTIFS(F$2:F587,TRUE),"")</f>
        <v>562</v>
      </c>
      <c r="H587" t="str">
        <f t="shared" si="29"/>
        <v>Early 43</v>
      </c>
    </row>
    <row r="588" spans="1:8" x14ac:dyDescent="0.25">
      <c r="A588" t="s">
        <v>347</v>
      </c>
      <c r="B588" t="s">
        <v>145</v>
      </c>
      <c r="C588" t="s">
        <v>283</v>
      </c>
      <c r="D588">
        <v>-94.9</v>
      </c>
      <c r="E588">
        <f t="shared" si="27"/>
        <v>589.5</v>
      </c>
      <c r="F588" s="12" t="b">
        <f t="shared" si="28"/>
        <v>1</v>
      </c>
      <c r="G588">
        <f>IF(F588,COUNTIFS(F$2:F588,TRUE),"")</f>
        <v>563</v>
      </c>
      <c r="H588" t="str">
        <f t="shared" si="29"/>
        <v>Early 43</v>
      </c>
    </row>
    <row r="589" spans="1:8" x14ac:dyDescent="0.25">
      <c r="A589" t="s">
        <v>721</v>
      </c>
      <c r="B589" t="s">
        <v>145</v>
      </c>
      <c r="C589" t="s">
        <v>107</v>
      </c>
      <c r="D589">
        <v>-94.9</v>
      </c>
      <c r="E589">
        <f t="shared" si="27"/>
        <v>589.5</v>
      </c>
      <c r="F589" s="12" t="b">
        <f t="shared" si="28"/>
        <v>1</v>
      </c>
      <c r="G589">
        <f>IF(F589,COUNTIFS(F$2:F589,TRUE),"")</f>
        <v>564</v>
      </c>
      <c r="H589" t="str">
        <f t="shared" si="29"/>
        <v>Early 43</v>
      </c>
    </row>
    <row r="590" spans="1:8" x14ac:dyDescent="0.25">
      <c r="A590" t="s">
        <v>255</v>
      </c>
      <c r="B590" t="s">
        <v>153</v>
      </c>
      <c r="C590" t="s">
        <v>167</v>
      </c>
      <c r="D590">
        <v>-94.9</v>
      </c>
      <c r="E590">
        <f t="shared" si="27"/>
        <v>589.5</v>
      </c>
      <c r="F590" s="12" t="b">
        <f t="shared" si="28"/>
        <v>1</v>
      </c>
      <c r="G590">
        <f>IF(F590,COUNTIFS(F$2:F590,TRUE),"")</f>
        <v>565</v>
      </c>
      <c r="H590" t="str">
        <f t="shared" si="29"/>
        <v>Early 43</v>
      </c>
    </row>
    <row r="591" spans="1:8" x14ac:dyDescent="0.25">
      <c r="A591" t="s">
        <v>262</v>
      </c>
      <c r="B591" t="s">
        <v>153</v>
      </c>
      <c r="C591" t="s">
        <v>176</v>
      </c>
      <c r="D591">
        <v>-94.9</v>
      </c>
      <c r="E591">
        <f t="shared" si="27"/>
        <v>589.5</v>
      </c>
      <c r="F591" s="12" t="b">
        <f t="shared" si="28"/>
        <v>1</v>
      </c>
      <c r="G591">
        <f>IF(F591,COUNTIFS(F$2:F591,TRUE),"")</f>
        <v>566</v>
      </c>
      <c r="H591" t="str">
        <f t="shared" si="29"/>
        <v>Early 43</v>
      </c>
    </row>
    <row r="592" spans="1:8" x14ac:dyDescent="0.25">
      <c r="A592" t="s">
        <v>263</v>
      </c>
      <c r="B592" t="s">
        <v>153</v>
      </c>
      <c r="C592" t="s">
        <v>176</v>
      </c>
      <c r="D592">
        <v>-94.9</v>
      </c>
      <c r="E592">
        <f t="shared" si="27"/>
        <v>589.5</v>
      </c>
      <c r="F592" s="12" t="b">
        <f t="shared" si="28"/>
        <v>1</v>
      </c>
      <c r="G592">
        <f>IF(F592,COUNTIFS(F$2:F592,TRUE),"")</f>
        <v>567</v>
      </c>
      <c r="H592" t="str">
        <f t="shared" si="29"/>
        <v>Early 43</v>
      </c>
    </row>
    <row r="593" spans="1:8" x14ac:dyDescent="0.25">
      <c r="A593" t="s">
        <v>372</v>
      </c>
      <c r="B593" t="s">
        <v>153</v>
      </c>
      <c r="C593" t="s">
        <v>283</v>
      </c>
      <c r="D593">
        <v>-94.9</v>
      </c>
      <c r="E593">
        <f t="shared" si="27"/>
        <v>589.5</v>
      </c>
      <c r="F593" s="12" t="b">
        <f t="shared" si="28"/>
        <v>1</v>
      </c>
      <c r="G593">
        <f>IF(F593,COUNTIFS(F$2:F593,TRUE),"")</f>
        <v>568</v>
      </c>
      <c r="H593" t="str">
        <f t="shared" si="29"/>
        <v>Early 43</v>
      </c>
    </row>
    <row r="594" spans="1:8" x14ac:dyDescent="0.25">
      <c r="A594" t="s">
        <v>734</v>
      </c>
      <c r="B594" t="s">
        <v>153</v>
      </c>
      <c r="C594" t="s">
        <v>635</v>
      </c>
      <c r="D594">
        <v>-94.9</v>
      </c>
      <c r="E594">
        <f t="shared" si="27"/>
        <v>589.5</v>
      </c>
      <c r="F594" s="12" t="b">
        <f t="shared" si="28"/>
        <v>1</v>
      </c>
      <c r="G594">
        <f>IF(F594,COUNTIFS(F$2:F594,TRUE),"")</f>
        <v>569</v>
      </c>
      <c r="H594" t="str">
        <f t="shared" si="29"/>
        <v>Early 43</v>
      </c>
    </row>
    <row r="595" spans="1:8" x14ac:dyDescent="0.25">
      <c r="A595" t="s">
        <v>735</v>
      </c>
      <c r="B595" t="s">
        <v>153</v>
      </c>
      <c r="C595" t="s">
        <v>635</v>
      </c>
      <c r="D595">
        <v>-94.9</v>
      </c>
      <c r="E595">
        <f t="shared" si="27"/>
        <v>589.5</v>
      </c>
      <c r="F595" s="12" t="b">
        <f t="shared" si="28"/>
        <v>1</v>
      </c>
      <c r="G595">
        <f>IF(F595,COUNTIFS(F$2:F595,TRUE),"")</f>
        <v>570</v>
      </c>
      <c r="H595" t="str">
        <f t="shared" si="29"/>
        <v>Early 43</v>
      </c>
    </row>
    <row r="596" spans="1:8" x14ac:dyDescent="0.25">
      <c r="A596" t="s">
        <v>185</v>
      </c>
      <c r="B596" t="s">
        <v>139</v>
      </c>
      <c r="C596" t="s">
        <v>162</v>
      </c>
      <c r="D596">
        <v>-95</v>
      </c>
      <c r="E596">
        <f t="shared" si="27"/>
        <v>626.5</v>
      </c>
      <c r="F596" s="12" t="b">
        <f t="shared" si="28"/>
        <v>1</v>
      </c>
      <c r="G596">
        <f>IF(F596,COUNTIFS(F$2:F596,TRUE),"")</f>
        <v>571</v>
      </c>
      <c r="H596" t="str">
        <f t="shared" si="29"/>
        <v>Late 45</v>
      </c>
    </row>
    <row r="597" spans="1:8" x14ac:dyDescent="0.25">
      <c r="A597" t="s">
        <v>199</v>
      </c>
      <c r="B597" t="s">
        <v>139</v>
      </c>
      <c r="C597" t="s">
        <v>172</v>
      </c>
      <c r="D597">
        <v>-95</v>
      </c>
      <c r="E597">
        <f t="shared" si="27"/>
        <v>626.5</v>
      </c>
      <c r="F597" s="12" t="b">
        <f t="shared" si="28"/>
        <v>1</v>
      </c>
      <c r="G597">
        <f>IF(F597,COUNTIFS(F$2:F597,TRUE),"")</f>
        <v>572</v>
      </c>
      <c r="H597" t="str">
        <f t="shared" si="29"/>
        <v>Late 45</v>
      </c>
    </row>
    <row r="598" spans="1:8" x14ac:dyDescent="0.25">
      <c r="A598" t="s">
        <v>200</v>
      </c>
      <c r="B598" t="s">
        <v>139</v>
      </c>
      <c r="C598" t="s">
        <v>172</v>
      </c>
      <c r="D598">
        <v>-95</v>
      </c>
      <c r="E598">
        <f t="shared" si="27"/>
        <v>626.5</v>
      </c>
      <c r="F598" s="12" t="b">
        <f t="shared" si="28"/>
        <v>1</v>
      </c>
      <c r="G598">
        <f>IF(F598,COUNTIFS(F$2:F598,TRUE),"")</f>
        <v>573</v>
      </c>
      <c r="H598" t="str">
        <f t="shared" si="29"/>
        <v>Late 45</v>
      </c>
    </row>
    <row r="599" spans="1:8" x14ac:dyDescent="0.25">
      <c r="A599" t="s">
        <v>299</v>
      </c>
      <c r="B599" t="s">
        <v>139</v>
      </c>
      <c r="C599" t="s">
        <v>273</v>
      </c>
      <c r="D599">
        <v>-95</v>
      </c>
      <c r="E599">
        <f t="shared" si="27"/>
        <v>626.5</v>
      </c>
      <c r="F599" s="12" t="b">
        <f t="shared" si="28"/>
        <v>1</v>
      </c>
      <c r="G599">
        <f>IF(F599,COUNTIFS(F$2:F599,TRUE),"")</f>
        <v>574</v>
      </c>
      <c r="H599" t="str">
        <f t="shared" si="29"/>
        <v>Late 45</v>
      </c>
    </row>
    <row r="600" spans="1:8" x14ac:dyDescent="0.25">
      <c r="A600" t="s">
        <v>300</v>
      </c>
      <c r="B600" t="s">
        <v>182</v>
      </c>
      <c r="C600" t="s">
        <v>273</v>
      </c>
      <c r="D600">
        <v>-95</v>
      </c>
      <c r="E600">
        <f t="shared" si="27"/>
        <v>626.5</v>
      </c>
      <c r="F600" s="12" t="b">
        <f t="shared" si="28"/>
        <v>1</v>
      </c>
      <c r="G600">
        <f>IF(F600,COUNTIFS(F$2:F600,TRUE),"")</f>
        <v>575</v>
      </c>
      <c r="H600" t="str">
        <f t="shared" si="29"/>
        <v>Late 45</v>
      </c>
    </row>
    <row r="601" spans="1:8" x14ac:dyDescent="0.25">
      <c r="A601" t="s">
        <v>311</v>
      </c>
      <c r="B601" t="s">
        <v>139</v>
      </c>
      <c r="C601" t="s">
        <v>283</v>
      </c>
      <c r="D601">
        <v>-95</v>
      </c>
      <c r="E601">
        <f t="shared" si="27"/>
        <v>626.5</v>
      </c>
      <c r="F601" s="12" t="b">
        <f t="shared" si="28"/>
        <v>1</v>
      </c>
      <c r="G601">
        <f>IF(F601,COUNTIFS(F$2:F601,TRUE),"")</f>
        <v>576</v>
      </c>
      <c r="H601" t="str">
        <f t="shared" si="29"/>
        <v>Late 45</v>
      </c>
    </row>
    <row r="602" spans="1:8" x14ac:dyDescent="0.25">
      <c r="A602" t="s">
        <v>322</v>
      </c>
      <c r="B602" t="s">
        <v>139</v>
      </c>
      <c r="C602" t="s">
        <v>292</v>
      </c>
      <c r="D602">
        <v>-95</v>
      </c>
      <c r="E602">
        <f t="shared" si="27"/>
        <v>626.5</v>
      </c>
      <c r="F602" s="12" t="b">
        <f t="shared" si="28"/>
        <v>1</v>
      </c>
      <c r="G602">
        <f>IF(F602,COUNTIFS(F$2:F602,TRUE),"")</f>
        <v>577</v>
      </c>
      <c r="H602" t="str">
        <f t="shared" si="29"/>
        <v>Late 45</v>
      </c>
    </row>
    <row r="603" spans="1:8" x14ac:dyDescent="0.25">
      <c r="A603" t="s">
        <v>461</v>
      </c>
      <c r="B603" t="s">
        <v>139</v>
      </c>
      <c r="C603" t="s">
        <v>408</v>
      </c>
      <c r="D603">
        <v>-95</v>
      </c>
      <c r="E603">
        <f t="shared" si="27"/>
        <v>626.5</v>
      </c>
      <c r="F603" s="12" t="b">
        <f t="shared" si="28"/>
        <v>1</v>
      </c>
      <c r="G603">
        <f>IF(F603,COUNTIFS(F$2:F603,TRUE),"")</f>
        <v>578</v>
      </c>
      <c r="H603" t="str">
        <f t="shared" si="29"/>
        <v>Late 45</v>
      </c>
    </row>
    <row r="604" spans="1:8" x14ac:dyDescent="0.25">
      <c r="A604" t="s">
        <v>468</v>
      </c>
      <c r="B604" t="s">
        <v>139</v>
      </c>
      <c r="C604" t="s">
        <v>411</v>
      </c>
      <c r="D604">
        <v>-95</v>
      </c>
      <c r="E604">
        <f t="shared" si="27"/>
        <v>626.5</v>
      </c>
      <c r="F604" s="12" t="b">
        <f t="shared" si="28"/>
        <v>1</v>
      </c>
      <c r="G604">
        <f>IF(F604,COUNTIFS(F$2:F604,TRUE),"")</f>
        <v>579</v>
      </c>
      <c r="H604" t="str">
        <f t="shared" si="29"/>
        <v>Late 45</v>
      </c>
    </row>
    <row r="605" spans="1:8" x14ac:dyDescent="0.25">
      <c r="A605" t="s">
        <v>491</v>
      </c>
      <c r="B605" t="s">
        <v>139</v>
      </c>
      <c r="C605" t="s">
        <v>430</v>
      </c>
      <c r="D605">
        <v>-95</v>
      </c>
      <c r="E605">
        <f t="shared" si="27"/>
        <v>626.5</v>
      </c>
      <c r="F605" s="12" t="b">
        <f t="shared" si="28"/>
        <v>1</v>
      </c>
      <c r="G605">
        <f>IF(F605,COUNTIFS(F$2:F605,TRUE),"")</f>
        <v>580</v>
      </c>
      <c r="H605" t="str">
        <f t="shared" si="29"/>
        <v>Late 45</v>
      </c>
    </row>
    <row r="606" spans="1:8" x14ac:dyDescent="0.25">
      <c r="A606" t="s">
        <v>672</v>
      </c>
      <c r="B606" t="s">
        <v>139</v>
      </c>
      <c r="C606" t="s">
        <v>639</v>
      </c>
      <c r="D606">
        <v>-95</v>
      </c>
      <c r="E606">
        <f t="shared" si="27"/>
        <v>626.5</v>
      </c>
      <c r="F606" s="12" t="b">
        <f t="shared" si="28"/>
        <v>1</v>
      </c>
      <c r="G606">
        <f>IF(F606,COUNTIFS(F$2:F606,TRUE),"")</f>
        <v>581</v>
      </c>
      <c r="H606" t="str">
        <f t="shared" si="29"/>
        <v>Late 45</v>
      </c>
    </row>
    <row r="607" spans="1:8" x14ac:dyDescent="0.25">
      <c r="A607" t="s">
        <v>673</v>
      </c>
      <c r="B607" t="s">
        <v>139</v>
      </c>
      <c r="C607" t="s">
        <v>639</v>
      </c>
      <c r="D607">
        <v>-95</v>
      </c>
      <c r="E607">
        <f t="shared" si="27"/>
        <v>626.5</v>
      </c>
      <c r="F607" s="12" t="b">
        <f t="shared" si="28"/>
        <v>1</v>
      </c>
      <c r="G607">
        <f>IF(F607,COUNTIFS(F$2:F607,TRUE),"")</f>
        <v>582</v>
      </c>
      <c r="H607" t="str">
        <f t="shared" si="29"/>
        <v>Late 45</v>
      </c>
    </row>
    <row r="608" spans="1:8" x14ac:dyDescent="0.25">
      <c r="A608" t="s">
        <v>793</v>
      </c>
      <c r="B608" t="s">
        <v>139</v>
      </c>
      <c r="C608" t="s">
        <v>768</v>
      </c>
      <c r="D608">
        <v>-95</v>
      </c>
      <c r="E608">
        <f t="shared" si="27"/>
        <v>626.5</v>
      </c>
      <c r="F608" s="12" t="b">
        <f t="shared" si="28"/>
        <v>1</v>
      </c>
      <c r="G608">
        <f>IF(F608,COUNTIFS(F$2:F608,TRUE),"")</f>
        <v>583</v>
      </c>
      <c r="H608" t="str">
        <f t="shared" si="29"/>
        <v>Late 45</v>
      </c>
    </row>
    <row r="609" spans="1:8" x14ac:dyDescent="0.25">
      <c r="A609" t="s">
        <v>816</v>
      </c>
      <c r="B609" t="s">
        <v>139</v>
      </c>
      <c r="C609" t="s">
        <v>783</v>
      </c>
      <c r="D609">
        <v>-95</v>
      </c>
      <c r="E609">
        <f t="shared" si="27"/>
        <v>626.5</v>
      </c>
      <c r="F609" s="12" t="b">
        <f t="shared" si="28"/>
        <v>1</v>
      </c>
      <c r="G609">
        <f>IF(F609,COUNTIFS(F$2:F609,TRUE),"")</f>
        <v>584</v>
      </c>
      <c r="H609" t="str">
        <f t="shared" si="29"/>
        <v>Late 45</v>
      </c>
    </row>
    <row r="610" spans="1:8" x14ac:dyDescent="0.25">
      <c r="A610" t="s">
        <v>215</v>
      </c>
      <c r="B610" t="s">
        <v>145</v>
      </c>
      <c r="C610" t="s">
        <v>162</v>
      </c>
      <c r="D610">
        <v>-95</v>
      </c>
      <c r="E610">
        <f t="shared" si="27"/>
        <v>626.5</v>
      </c>
      <c r="F610" s="12" t="b">
        <f t="shared" si="28"/>
        <v>1</v>
      </c>
      <c r="G610">
        <f>IF(F610,COUNTIFS(F$2:F610,TRUE),"")</f>
        <v>585</v>
      </c>
      <c r="H610" t="str">
        <f t="shared" si="29"/>
        <v>Late 45</v>
      </c>
    </row>
    <row r="611" spans="1:8" x14ac:dyDescent="0.25">
      <c r="A611" t="s">
        <v>226</v>
      </c>
      <c r="B611" t="s">
        <v>145</v>
      </c>
      <c r="C611" t="s">
        <v>167</v>
      </c>
      <c r="D611">
        <v>-95</v>
      </c>
      <c r="E611">
        <f t="shared" si="27"/>
        <v>626.5</v>
      </c>
      <c r="F611" s="12" t="b">
        <f t="shared" si="28"/>
        <v>1</v>
      </c>
      <c r="G611">
        <f>IF(F611,COUNTIFS(F$2:F611,TRUE),"")</f>
        <v>586</v>
      </c>
      <c r="H611" t="str">
        <f t="shared" si="29"/>
        <v>Late 45</v>
      </c>
    </row>
    <row r="612" spans="1:8" x14ac:dyDescent="0.25">
      <c r="A612" t="s">
        <v>237</v>
      </c>
      <c r="B612" t="s">
        <v>145</v>
      </c>
      <c r="C612" t="s">
        <v>172</v>
      </c>
      <c r="D612">
        <v>-95</v>
      </c>
      <c r="E612">
        <f t="shared" si="27"/>
        <v>626.5</v>
      </c>
      <c r="F612" s="12" t="b">
        <f t="shared" si="28"/>
        <v>1</v>
      </c>
      <c r="G612">
        <f>IF(F612,COUNTIFS(F$2:F612,TRUE),"")</f>
        <v>587</v>
      </c>
      <c r="H612" t="str">
        <f t="shared" si="29"/>
        <v>Late 45</v>
      </c>
    </row>
    <row r="613" spans="1:8" x14ac:dyDescent="0.25">
      <c r="A613" t="s">
        <v>246</v>
      </c>
      <c r="B613" t="s">
        <v>145</v>
      </c>
      <c r="C613" t="s">
        <v>176</v>
      </c>
      <c r="D613">
        <v>-95</v>
      </c>
      <c r="E613">
        <f t="shared" si="27"/>
        <v>626.5</v>
      </c>
      <c r="F613" s="12" t="b">
        <f t="shared" si="28"/>
        <v>1</v>
      </c>
      <c r="G613">
        <f>IF(F613,COUNTIFS(F$2:F613,TRUE),"")</f>
        <v>588</v>
      </c>
      <c r="H613" t="str">
        <f t="shared" si="29"/>
        <v>Late 45</v>
      </c>
    </row>
    <row r="614" spans="1:8" x14ac:dyDescent="0.25">
      <c r="A614" t="s">
        <v>247</v>
      </c>
      <c r="B614" t="s">
        <v>145</v>
      </c>
      <c r="C614" t="s">
        <v>176</v>
      </c>
      <c r="D614">
        <v>-95</v>
      </c>
      <c r="E614">
        <f t="shared" si="27"/>
        <v>626.5</v>
      </c>
      <c r="F614" s="12" t="b">
        <f t="shared" si="28"/>
        <v>1</v>
      </c>
      <c r="G614">
        <f>IF(F614,COUNTIFS(F$2:F614,TRUE),"")</f>
        <v>589</v>
      </c>
      <c r="H614" t="str">
        <f t="shared" si="29"/>
        <v>Late 45</v>
      </c>
    </row>
    <row r="615" spans="1:8" x14ac:dyDescent="0.25">
      <c r="A615" t="s">
        <v>353</v>
      </c>
      <c r="B615" t="s">
        <v>145</v>
      </c>
      <c r="C615" t="s">
        <v>288</v>
      </c>
      <c r="D615">
        <v>-95</v>
      </c>
      <c r="E615">
        <f t="shared" si="27"/>
        <v>626.5</v>
      </c>
      <c r="F615" s="12" t="b">
        <f t="shared" si="28"/>
        <v>1</v>
      </c>
      <c r="G615">
        <f>IF(F615,COUNTIFS(F$2:F615,TRUE),"")</f>
        <v>590</v>
      </c>
      <c r="H615" t="str">
        <f t="shared" si="29"/>
        <v>Late 45</v>
      </c>
    </row>
    <row r="616" spans="1:8" x14ac:dyDescent="0.25">
      <c r="A616" t="s">
        <v>354</v>
      </c>
      <c r="B616" t="s">
        <v>145</v>
      </c>
      <c r="C616" t="s">
        <v>288</v>
      </c>
      <c r="D616">
        <v>-95</v>
      </c>
      <c r="E616">
        <f t="shared" si="27"/>
        <v>626.5</v>
      </c>
      <c r="F616" s="12" t="b">
        <f t="shared" si="28"/>
        <v>1</v>
      </c>
      <c r="G616">
        <f>IF(F616,COUNTIFS(F$2:F616,TRUE),"")</f>
        <v>591</v>
      </c>
      <c r="H616" t="str">
        <f t="shared" si="29"/>
        <v>Late 45</v>
      </c>
    </row>
    <row r="617" spans="1:8" x14ac:dyDescent="0.25">
      <c r="A617" t="s">
        <v>500</v>
      </c>
      <c r="B617" t="s">
        <v>145</v>
      </c>
      <c r="C617" t="s">
        <v>393</v>
      </c>
      <c r="D617">
        <v>-95</v>
      </c>
      <c r="E617">
        <f t="shared" si="27"/>
        <v>626.5</v>
      </c>
      <c r="F617" s="12" t="b">
        <f t="shared" si="28"/>
        <v>1</v>
      </c>
      <c r="G617">
        <f>IF(F617,COUNTIFS(F$2:F617,TRUE),"")</f>
        <v>592</v>
      </c>
      <c r="H617" t="str">
        <f t="shared" si="29"/>
        <v>Late 45</v>
      </c>
    </row>
    <row r="618" spans="1:8" x14ac:dyDescent="0.25">
      <c r="A618" t="s">
        <v>507</v>
      </c>
      <c r="B618" t="s">
        <v>145</v>
      </c>
      <c r="C618" t="s">
        <v>397</v>
      </c>
      <c r="D618">
        <v>-95</v>
      </c>
      <c r="E618">
        <f t="shared" si="27"/>
        <v>626.5</v>
      </c>
      <c r="F618" s="12" t="b">
        <f t="shared" si="28"/>
        <v>1</v>
      </c>
      <c r="G618">
        <f>IF(F618,COUNTIFS(F$2:F618,TRUE),"")</f>
        <v>593</v>
      </c>
      <c r="H618" t="str">
        <f t="shared" si="29"/>
        <v>Late 45</v>
      </c>
    </row>
    <row r="619" spans="1:8" x14ac:dyDescent="0.25">
      <c r="A619" t="s">
        <v>525</v>
      </c>
      <c r="B619" t="s">
        <v>145</v>
      </c>
      <c r="C619" t="s">
        <v>408</v>
      </c>
      <c r="D619">
        <v>-95</v>
      </c>
      <c r="E619">
        <f t="shared" si="27"/>
        <v>626.5</v>
      </c>
      <c r="F619" s="12" t="b">
        <f t="shared" si="28"/>
        <v>1</v>
      </c>
      <c r="G619">
        <f>IF(F619,COUNTIFS(F$2:F619,TRUE),"")</f>
        <v>594</v>
      </c>
      <c r="H619" t="str">
        <f t="shared" si="29"/>
        <v>Late 45</v>
      </c>
    </row>
    <row r="620" spans="1:8" x14ac:dyDescent="0.25">
      <c r="A620" t="s">
        <v>526</v>
      </c>
      <c r="B620" t="s">
        <v>145</v>
      </c>
      <c r="C620" t="s">
        <v>408</v>
      </c>
      <c r="D620">
        <v>-95</v>
      </c>
      <c r="E620">
        <f t="shared" si="27"/>
        <v>626.5</v>
      </c>
      <c r="F620" s="12" t="b">
        <f t="shared" si="28"/>
        <v>1</v>
      </c>
      <c r="G620">
        <f>IF(F620,COUNTIFS(F$2:F620,TRUE),"")</f>
        <v>595</v>
      </c>
      <c r="H620" t="str">
        <f t="shared" si="29"/>
        <v>Late 45</v>
      </c>
    </row>
    <row r="621" spans="1:8" x14ac:dyDescent="0.25">
      <c r="A621" t="s">
        <v>527</v>
      </c>
      <c r="B621" t="s">
        <v>145</v>
      </c>
      <c r="C621" t="s">
        <v>408</v>
      </c>
      <c r="D621">
        <v>-95</v>
      </c>
      <c r="E621">
        <f t="shared" si="27"/>
        <v>626.5</v>
      </c>
      <c r="F621" s="12" t="b">
        <f t="shared" si="28"/>
        <v>1</v>
      </c>
      <c r="G621">
        <f>IF(F621,COUNTIFS(F$2:F621,TRUE),"")</f>
        <v>596</v>
      </c>
      <c r="H621" t="str">
        <f t="shared" si="29"/>
        <v>Late 45</v>
      </c>
    </row>
    <row r="622" spans="1:8" x14ac:dyDescent="0.25">
      <c r="A622" t="s">
        <v>536</v>
      </c>
      <c r="B622" t="s">
        <v>145</v>
      </c>
      <c r="C622" t="s">
        <v>411</v>
      </c>
      <c r="D622">
        <v>-95</v>
      </c>
      <c r="E622">
        <f t="shared" si="27"/>
        <v>626.5</v>
      </c>
      <c r="F622" s="12" t="b">
        <f t="shared" si="28"/>
        <v>1</v>
      </c>
      <c r="G622">
        <f>IF(F622,COUNTIFS(F$2:F622,TRUE),"")</f>
        <v>597</v>
      </c>
      <c r="H622" t="str">
        <f t="shared" si="29"/>
        <v>Late 45</v>
      </c>
    </row>
    <row r="623" spans="1:8" x14ac:dyDescent="0.25">
      <c r="A623" t="s">
        <v>537</v>
      </c>
      <c r="B623" t="s">
        <v>145</v>
      </c>
      <c r="C623" t="s">
        <v>411</v>
      </c>
      <c r="D623">
        <v>-95</v>
      </c>
      <c r="E623">
        <f t="shared" si="27"/>
        <v>626.5</v>
      </c>
      <c r="F623" s="12" t="b">
        <f t="shared" si="28"/>
        <v>1</v>
      </c>
      <c r="G623">
        <f>IF(F623,COUNTIFS(F$2:F623,TRUE),"")</f>
        <v>598</v>
      </c>
      <c r="H623" t="str">
        <f t="shared" si="29"/>
        <v>Late 45</v>
      </c>
    </row>
    <row r="624" spans="1:8" x14ac:dyDescent="0.25">
      <c r="A624" t="s">
        <v>558</v>
      </c>
      <c r="B624" t="s">
        <v>145</v>
      </c>
      <c r="C624" t="s">
        <v>426</v>
      </c>
      <c r="D624">
        <v>-95</v>
      </c>
      <c r="E624">
        <f t="shared" si="27"/>
        <v>626.5</v>
      </c>
      <c r="F624" s="12" t="b">
        <f t="shared" si="28"/>
        <v>1</v>
      </c>
      <c r="G624">
        <f>IF(F624,COUNTIFS(F$2:F624,TRUE),"")</f>
        <v>599</v>
      </c>
      <c r="H624" t="str">
        <f t="shared" si="29"/>
        <v>Late 45</v>
      </c>
    </row>
    <row r="625" spans="1:8" x14ac:dyDescent="0.25">
      <c r="A625" t="s">
        <v>566</v>
      </c>
      <c r="B625" t="s">
        <v>145</v>
      </c>
      <c r="C625" t="s">
        <v>430</v>
      </c>
      <c r="D625">
        <v>-95</v>
      </c>
      <c r="E625">
        <f t="shared" si="27"/>
        <v>626.5</v>
      </c>
      <c r="F625" s="12" t="b">
        <f t="shared" si="28"/>
        <v>1</v>
      </c>
      <c r="G625">
        <f>IF(F625,COUNTIFS(F$2:F625,TRUE),"")</f>
        <v>600</v>
      </c>
      <c r="H625" t="str">
        <f t="shared" si="29"/>
        <v>Late 45</v>
      </c>
    </row>
    <row r="626" spans="1:8" x14ac:dyDescent="0.25">
      <c r="A626" t="s">
        <v>694</v>
      </c>
      <c r="B626" t="s">
        <v>145</v>
      </c>
      <c r="C626" t="s">
        <v>631</v>
      </c>
      <c r="D626">
        <v>-95</v>
      </c>
      <c r="E626">
        <f t="shared" si="27"/>
        <v>626.5</v>
      </c>
      <c r="F626" s="12" t="b">
        <f t="shared" si="28"/>
        <v>1</v>
      </c>
      <c r="G626">
        <f>IF(F626,COUNTIFS(F$2:F626,TRUE),"")</f>
        <v>601</v>
      </c>
      <c r="H626" t="str">
        <f t="shared" si="29"/>
        <v>Late 45</v>
      </c>
    </row>
    <row r="627" spans="1:8" x14ac:dyDescent="0.25">
      <c r="A627" t="s">
        <v>695</v>
      </c>
      <c r="B627" t="s">
        <v>145</v>
      </c>
      <c r="C627" t="s">
        <v>631</v>
      </c>
      <c r="D627">
        <v>-95</v>
      </c>
      <c r="E627">
        <f t="shared" si="27"/>
        <v>626.5</v>
      </c>
      <c r="F627" s="12" t="b">
        <f t="shared" si="28"/>
        <v>1</v>
      </c>
      <c r="G627">
        <f>IF(F627,COUNTIFS(F$2:F627,TRUE),"")</f>
        <v>602</v>
      </c>
      <c r="H627" t="str">
        <f t="shared" si="29"/>
        <v>Late 45</v>
      </c>
    </row>
    <row r="628" spans="1:8" x14ac:dyDescent="0.25">
      <c r="A628" t="s">
        <v>701</v>
      </c>
      <c r="B628" t="s">
        <v>145</v>
      </c>
      <c r="C628" t="s">
        <v>635</v>
      </c>
      <c r="D628">
        <v>-95</v>
      </c>
      <c r="E628">
        <f t="shared" si="27"/>
        <v>626.5</v>
      </c>
      <c r="F628" s="12" t="b">
        <f t="shared" si="28"/>
        <v>1</v>
      </c>
      <c r="G628">
        <f>IF(F628,COUNTIFS(F$2:F628,TRUE),"")</f>
        <v>603</v>
      </c>
      <c r="H628" t="str">
        <f t="shared" si="29"/>
        <v>Late 45</v>
      </c>
    </row>
    <row r="629" spans="1:8" x14ac:dyDescent="0.25">
      <c r="A629" t="s">
        <v>709</v>
      </c>
      <c r="B629" t="s">
        <v>145</v>
      </c>
      <c r="C629" t="s">
        <v>639</v>
      </c>
      <c r="D629">
        <v>-95</v>
      </c>
      <c r="E629">
        <f t="shared" si="27"/>
        <v>626.5</v>
      </c>
      <c r="F629" s="12" t="b">
        <f t="shared" si="28"/>
        <v>1</v>
      </c>
      <c r="G629">
        <f>IF(F629,COUNTIFS(F$2:F629,TRUE),"")</f>
        <v>604</v>
      </c>
      <c r="H629" t="str">
        <f t="shared" si="29"/>
        <v>Late 45</v>
      </c>
    </row>
    <row r="630" spans="1:8" x14ac:dyDescent="0.25">
      <c r="A630" t="s">
        <v>714</v>
      </c>
      <c r="B630" t="s">
        <v>145</v>
      </c>
      <c r="C630" t="s">
        <v>644</v>
      </c>
      <c r="D630">
        <v>-95</v>
      </c>
      <c r="E630">
        <f t="shared" si="27"/>
        <v>626.5</v>
      </c>
      <c r="F630" s="12" t="b">
        <f t="shared" si="28"/>
        <v>1</v>
      </c>
      <c r="G630">
        <f>IF(F630,COUNTIFS(F$2:F630,TRUE),"")</f>
        <v>605</v>
      </c>
      <c r="H630" t="str">
        <f t="shared" si="29"/>
        <v>Late 45</v>
      </c>
    </row>
    <row r="631" spans="1:8" x14ac:dyDescent="0.25">
      <c r="A631" t="s">
        <v>726</v>
      </c>
      <c r="B631" t="s">
        <v>145</v>
      </c>
      <c r="C631" t="s">
        <v>648</v>
      </c>
      <c r="D631">
        <v>-95</v>
      </c>
      <c r="E631">
        <f t="shared" si="27"/>
        <v>626.5</v>
      </c>
      <c r="F631" s="12" t="b">
        <f t="shared" si="28"/>
        <v>1</v>
      </c>
      <c r="G631">
        <f>IF(F631,COUNTIFS(F$2:F631,TRUE),"")</f>
        <v>606</v>
      </c>
      <c r="H631" t="str">
        <f t="shared" si="29"/>
        <v>Late 45</v>
      </c>
    </row>
    <row r="632" spans="1:8" x14ac:dyDescent="0.25">
      <c r="A632" t="s">
        <v>727</v>
      </c>
      <c r="B632" t="s">
        <v>145</v>
      </c>
      <c r="C632" t="s">
        <v>648</v>
      </c>
      <c r="D632">
        <v>-95</v>
      </c>
      <c r="E632">
        <f t="shared" si="27"/>
        <v>626.5</v>
      </c>
      <c r="F632" s="12" t="b">
        <f t="shared" si="28"/>
        <v>1</v>
      </c>
      <c r="G632">
        <f>IF(F632,COUNTIFS(F$2:F632,TRUE),"")</f>
        <v>607</v>
      </c>
      <c r="H632" t="str">
        <f t="shared" si="29"/>
        <v>Late 45</v>
      </c>
    </row>
    <row r="633" spans="1:8" x14ac:dyDescent="0.25">
      <c r="A633" t="s">
        <v>728</v>
      </c>
      <c r="B633" t="s">
        <v>145</v>
      </c>
      <c r="C633" t="s">
        <v>648</v>
      </c>
      <c r="D633">
        <v>-95</v>
      </c>
      <c r="E633">
        <f t="shared" si="27"/>
        <v>626.5</v>
      </c>
      <c r="F633" s="12" t="b">
        <f t="shared" si="28"/>
        <v>1</v>
      </c>
      <c r="G633">
        <f>IF(F633,COUNTIFS(F$2:F633,TRUE),"")</f>
        <v>608</v>
      </c>
      <c r="H633" t="str">
        <f t="shared" si="29"/>
        <v>Late 45</v>
      </c>
    </row>
    <row r="634" spans="1:8" x14ac:dyDescent="0.25">
      <c r="A634" t="s">
        <v>842</v>
      </c>
      <c r="B634" t="s">
        <v>145</v>
      </c>
      <c r="C634" t="s">
        <v>774</v>
      </c>
      <c r="D634">
        <v>-95</v>
      </c>
      <c r="E634">
        <f t="shared" si="27"/>
        <v>626.5</v>
      </c>
      <c r="F634" s="12" t="b">
        <f t="shared" si="28"/>
        <v>1</v>
      </c>
      <c r="G634">
        <f>IF(F634,COUNTIFS(F$2:F634,TRUE),"")</f>
        <v>609</v>
      </c>
      <c r="H634" t="str">
        <f t="shared" si="29"/>
        <v>Late 45</v>
      </c>
    </row>
    <row r="635" spans="1:8" x14ac:dyDescent="0.25">
      <c r="A635" t="s">
        <v>364</v>
      </c>
      <c r="B635" t="s">
        <v>153</v>
      </c>
      <c r="C635" t="s">
        <v>273</v>
      </c>
      <c r="D635">
        <v>-95</v>
      </c>
      <c r="E635">
        <f t="shared" si="27"/>
        <v>626.5</v>
      </c>
      <c r="F635" s="12" t="b">
        <f t="shared" si="28"/>
        <v>1</v>
      </c>
      <c r="G635">
        <f>IF(F635,COUNTIFS(F$2:F635,TRUE),"")</f>
        <v>610</v>
      </c>
      <c r="H635" t="str">
        <f t="shared" si="29"/>
        <v>Late 45</v>
      </c>
    </row>
    <row r="636" spans="1:8" x14ac:dyDescent="0.25">
      <c r="A636" t="s">
        <v>365</v>
      </c>
      <c r="B636" t="s">
        <v>153</v>
      </c>
      <c r="C636" t="s">
        <v>273</v>
      </c>
      <c r="D636">
        <v>-95</v>
      </c>
      <c r="E636">
        <f t="shared" si="27"/>
        <v>626.5</v>
      </c>
      <c r="F636" s="12" t="b">
        <f t="shared" si="28"/>
        <v>1</v>
      </c>
      <c r="G636">
        <f>IF(F636,COUNTIFS(F$2:F636,TRUE),"")</f>
        <v>611</v>
      </c>
      <c r="H636" t="str">
        <f t="shared" si="29"/>
        <v>Late 45</v>
      </c>
    </row>
    <row r="637" spans="1:8" x14ac:dyDescent="0.25">
      <c r="A637" t="s">
        <v>569</v>
      </c>
      <c r="B637" t="s">
        <v>153</v>
      </c>
      <c r="C637" t="s">
        <v>393</v>
      </c>
      <c r="D637">
        <v>-95</v>
      </c>
      <c r="E637">
        <f t="shared" si="27"/>
        <v>626.5</v>
      </c>
      <c r="F637" s="12" t="b">
        <f t="shared" si="28"/>
        <v>1</v>
      </c>
      <c r="G637">
        <f>IF(F637,COUNTIFS(F$2:F637,TRUE),"")</f>
        <v>612</v>
      </c>
      <c r="H637" t="str">
        <f t="shared" si="29"/>
        <v>Late 45</v>
      </c>
    </row>
    <row r="638" spans="1:8" x14ac:dyDescent="0.25">
      <c r="A638" t="s">
        <v>570</v>
      </c>
      <c r="B638" t="s">
        <v>153</v>
      </c>
      <c r="C638" t="s">
        <v>393</v>
      </c>
      <c r="D638">
        <v>-95</v>
      </c>
      <c r="E638">
        <f t="shared" si="27"/>
        <v>626.5</v>
      </c>
      <c r="F638" s="12" t="b">
        <f t="shared" si="28"/>
        <v>1</v>
      </c>
      <c r="G638">
        <f>IF(F638,COUNTIFS(F$2:F638,TRUE),"")</f>
        <v>613</v>
      </c>
      <c r="H638" t="str">
        <f t="shared" si="29"/>
        <v>Late 45</v>
      </c>
    </row>
    <row r="639" spans="1:8" x14ac:dyDescent="0.25">
      <c r="A639" t="s">
        <v>571</v>
      </c>
      <c r="B639" t="s">
        <v>153</v>
      </c>
      <c r="C639" t="s">
        <v>393</v>
      </c>
      <c r="D639">
        <v>-95</v>
      </c>
      <c r="E639">
        <f t="shared" si="27"/>
        <v>626.5</v>
      </c>
      <c r="F639" s="12" t="b">
        <f t="shared" si="28"/>
        <v>1</v>
      </c>
      <c r="G639">
        <f>IF(F639,COUNTIFS(F$2:F639,TRUE),"")</f>
        <v>614</v>
      </c>
      <c r="H639" t="str">
        <f t="shared" si="29"/>
        <v>Late 45</v>
      </c>
    </row>
    <row r="640" spans="1:8" x14ac:dyDescent="0.25">
      <c r="A640" t="s">
        <v>572</v>
      </c>
      <c r="B640" t="s">
        <v>153</v>
      </c>
      <c r="C640" t="s">
        <v>393</v>
      </c>
      <c r="D640">
        <v>-95</v>
      </c>
      <c r="E640">
        <f t="shared" si="27"/>
        <v>626.5</v>
      </c>
      <c r="F640" s="12" t="b">
        <f t="shared" si="28"/>
        <v>1</v>
      </c>
      <c r="G640">
        <f>IF(F640,COUNTIFS(F$2:F640,TRUE),"")</f>
        <v>615</v>
      </c>
      <c r="H640" t="str">
        <f t="shared" si="29"/>
        <v>Late 45</v>
      </c>
    </row>
    <row r="641" spans="1:8" x14ac:dyDescent="0.25">
      <c r="A641" t="s">
        <v>576</v>
      </c>
      <c r="B641" t="s">
        <v>153</v>
      </c>
      <c r="C641" t="s">
        <v>397</v>
      </c>
      <c r="D641">
        <v>-95</v>
      </c>
      <c r="E641">
        <f t="shared" si="27"/>
        <v>626.5</v>
      </c>
      <c r="F641" s="12" t="b">
        <f t="shared" si="28"/>
        <v>1</v>
      </c>
      <c r="G641">
        <f>IF(F641,COUNTIFS(F$2:F641,TRUE),"")</f>
        <v>616</v>
      </c>
      <c r="H641" t="str">
        <f t="shared" si="29"/>
        <v>Late 45</v>
      </c>
    </row>
    <row r="642" spans="1:8" x14ac:dyDescent="0.25">
      <c r="A642" t="s">
        <v>579</v>
      </c>
      <c r="B642" t="s">
        <v>153</v>
      </c>
      <c r="C642" t="s">
        <v>400</v>
      </c>
      <c r="D642">
        <v>-95</v>
      </c>
      <c r="E642">
        <f t="shared" ref="E642:E705" si="30">_xlfn.RANK.AVG(D642,$D$2:$D$738,0)</f>
        <v>626.5</v>
      </c>
      <c r="F642" s="12" t="b">
        <f t="shared" si="28"/>
        <v>1</v>
      </c>
      <c r="G642">
        <f>IF(F642,COUNTIFS(F$2:F642,TRUE),"")</f>
        <v>617</v>
      </c>
      <c r="H642" t="str">
        <f t="shared" si="29"/>
        <v>Late 45</v>
      </c>
    </row>
    <row r="643" spans="1:8" x14ac:dyDescent="0.25">
      <c r="A643" t="s">
        <v>583</v>
      </c>
      <c r="B643" t="s">
        <v>153</v>
      </c>
      <c r="C643" t="s">
        <v>404</v>
      </c>
      <c r="D643">
        <v>-95</v>
      </c>
      <c r="E643">
        <f t="shared" si="30"/>
        <v>626.5</v>
      </c>
      <c r="F643" s="12" t="b">
        <f t="shared" ref="F643:F706" si="31">color_fill(E643)</f>
        <v>1</v>
      </c>
      <c r="G643">
        <f>IF(F643,COUNTIFS(F$2:F643,TRUE),"")</f>
        <v>618</v>
      </c>
      <c r="H643" t="str">
        <f t="shared" ref="H643:H706" si="32">VLOOKUP(MOD(E643,14),$Q$2:$R$5,2,TRUE)&amp;" "&amp;_xlfn.CEILING.MATH((E643)/14)</f>
        <v>Late 45</v>
      </c>
    </row>
    <row r="644" spans="1:8" x14ac:dyDescent="0.25">
      <c r="A644" t="s">
        <v>590</v>
      </c>
      <c r="B644" t="s">
        <v>153</v>
      </c>
      <c r="C644" t="s">
        <v>411</v>
      </c>
      <c r="D644">
        <v>-95</v>
      </c>
      <c r="E644">
        <f t="shared" si="30"/>
        <v>626.5</v>
      </c>
      <c r="F644" s="12" t="b">
        <f t="shared" si="31"/>
        <v>1</v>
      </c>
      <c r="G644">
        <f>IF(F644,COUNTIFS(F$2:F644,TRUE),"")</f>
        <v>619</v>
      </c>
      <c r="H644" t="str">
        <f t="shared" si="32"/>
        <v>Late 45</v>
      </c>
    </row>
    <row r="645" spans="1:8" x14ac:dyDescent="0.25">
      <c r="A645" t="s">
        <v>595</v>
      </c>
      <c r="B645" t="s">
        <v>153</v>
      </c>
      <c r="C645" t="s">
        <v>417</v>
      </c>
      <c r="D645">
        <v>-95</v>
      </c>
      <c r="E645">
        <f t="shared" si="30"/>
        <v>626.5</v>
      </c>
      <c r="F645" s="12" t="b">
        <f t="shared" si="31"/>
        <v>1</v>
      </c>
      <c r="G645">
        <f>IF(F645,COUNTIFS(F$2:F645,TRUE),"")</f>
        <v>620</v>
      </c>
      <c r="H645" t="str">
        <f t="shared" si="32"/>
        <v>Late 45</v>
      </c>
    </row>
    <row r="646" spans="1:8" x14ac:dyDescent="0.25">
      <c r="A646" t="s">
        <v>596</v>
      </c>
      <c r="B646" t="s">
        <v>153</v>
      </c>
      <c r="C646" t="s">
        <v>417</v>
      </c>
      <c r="D646">
        <v>-95</v>
      </c>
      <c r="E646">
        <f t="shared" si="30"/>
        <v>626.5</v>
      </c>
      <c r="F646" s="12" t="b">
        <f t="shared" si="31"/>
        <v>1</v>
      </c>
      <c r="G646">
        <f>IF(F646,COUNTIFS(F$2:F646,TRUE),"")</f>
        <v>621</v>
      </c>
      <c r="H646" t="str">
        <f t="shared" si="32"/>
        <v>Late 45</v>
      </c>
    </row>
    <row r="647" spans="1:8" x14ac:dyDescent="0.25">
      <c r="A647" t="s">
        <v>599</v>
      </c>
      <c r="B647" t="s">
        <v>153</v>
      </c>
      <c r="C647" t="s">
        <v>421</v>
      </c>
      <c r="D647">
        <v>-95</v>
      </c>
      <c r="E647">
        <f t="shared" si="30"/>
        <v>626.5</v>
      </c>
      <c r="F647" s="12" t="b">
        <f t="shared" si="31"/>
        <v>1</v>
      </c>
      <c r="G647">
        <f>IF(F647,COUNTIFS(F$2:F647,TRUE),"")</f>
        <v>622</v>
      </c>
      <c r="H647" t="str">
        <f t="shared" si="32"/>
        <v>Late 45</v>
      </c>
    </row>
    <row r="648" spans="1:8" x14ac:dyDescent="0.25">
      <c r="A648" t="s">
        <v>600</v>
      </c>
      <c r="B648" t="s">
        <v>153</v>
      </c>
      <c r="C648" t="s">
        <v>421</v>
      </c>
      <c r="D648">
        <v>-95</v>
      </c>
      <c r="E648">
        <f t="shared" si="30"/>
        <v>626.5</v>
      </c>
      <c r="F648" s="12" t="b">
        <f t="shared" si="31"/>
        <v>1</v>
      </c>
      <c r="G648">
        <f>IF(F648,COUNTIFS(F$2:F648,TRUE),"")</f>
        <v>623</v>
      </c>
      <c r="H648" t="str">
        <f t="shared" si="32"/>
        <v>Late 45</v>
      </c>
    </row>
    <row r="649" spans="1:8" x14ac:dyDescent="0.25">
      <c r="A649" t="s">
        <v>601</v>
      </c>
      <c r="B649" t="s">
        <v>153</v>
      </c>
      <c r="C649" t="s">
        <v>421</v>
      </c>
      <c r="D649">
        <v>-95</v>
      </c>
      <c r="E649">
        <f t="shared" si="30"/>
        <v>626.5</v>
      </c>
      <c r="F649" s="12" t="b">
        <f t="shared" si="31"/>
        <v>1</v>
      </c>
      <c r="G649">
        <f>IF(F649,COUNTIFS(F$2:F649,TRUE),"")</f>
        <v>624</v>
      </c>
      <c r="H649" t="str">
        <f t="shared" si="32"/>
        <v>Late 45</v>
      </c>
    </row>
    <row r="650" spans="1:8" x14ac:dyDescent="0.25">
      <c r="A650" t="s">
        <v>608</v>
      </c>
      <c r="B650" t="s">
        <v>153</v>
      </c>
      <c r="C650" t="s">
        <v>430</v>
      </c>
      <c r="D650">
        <v>-95</v>
      </c>
      <c r="E650">
        <f t="shared" si="30"/>
        <v>626.5</v>
      </c>
      <c r="F650" s="12" t="b">
        <f t="shared" si="31"/>
        <v>1</v>
      </c>
      <c r="G650">
        <f>IF(F650,COUNTIFS(F$2:F650,TRUE),"")</f>
        <v>625</v>
      </c>
      <c r="H650" t="str">
        <f t="shared" si="32"/>
        <v>Late 45</v>
      </c>
    </row>
    <row r="651" spans="1:8" x14ac:dyDescent="0.25">
      <c r="A651" t="s">
        <v>609</v>
      </c>
      <c r="B651" t="s">
        <v>153</v>
      </c>
      <c r="C651" t="s">
        <v>430</v>
      </c>
      <c r="D651">
        <v>-95</v>
      </c>
      <c r="E651">
        <f t="shared" si="30"/>
        <v>626.5</v>
      </c>
      <c r="F651" s="12" t="b">
        <f t="shared" si="31"/>
        <v>1</v>
      </c>
      <c r="G651">
        <f>IF(F651,COUNTIFS(F$2:F651,TRUE),"")</f>
        <v>626</v>
      </c>
      <c r="H651" t="str">
        <f t="shared" si="32"/>
        <v>Late 45</v>
      </c>
    </row>
    <row r="652" spans="1:8" x14ac:dyDescent="0.25">
      <c r="A652" t="s">
        <v>739</v>
      </c>
      <c r="B652" t="s">
        <v>153</v>
      </c>
      <c r="C652" t="s">
        <v>639</v>
      </c>
      <c r="D652">
        <v>-95</v>
      </c>
      <c r="E652">
        <f t="shared" si="30"/>
        <v>626.5</v>
      </c>
      <c r="F652" s="12" t="b">
        <f t="shared" si="31"/>
        <v>1</v>
      </c>
      <c r="G652">
        <f>IF(F652,COUNTIFS(F$2:F652,TRUE),"")</f>
        <v>627</v>
      </c>
      <c r="H652" t="str">
        <f t="shared" si="32"/>
        <v>Late 45</v>
      </c>
    </row>
    <row r="653" spans="1:8" x14ac:dyDescent="0.25">
      <c r="A653" t="s">
        <v>743</v>
      </c>
      <c r="B653" t="s">
        <v>153</v>
      </c>
      <c r="C653" t="s">
        <v>644</v>
      </c>
      <c r="D653">
        <v>-95</v>
      </c>
      <c r="E653">
        <f t="shared" si="30"/>
        <v>626.5</v>
      </c>
      <c r="F653" s="12" t="b">
        <f t="shared" si="31"/>
        <v>1</v>
      </c>
      <c r="G653">
        <f>IF(F653,COUNTIFS(F$2:F653,TRUE),"")</f>
        <v>628</v>
      </c>
      <c r="H653" t="str">
        <f t="shared" si="32"/>
        <v>Late 45</v>
      </c>
    </row>
    <row r="654" spans="1:8" x14ac:dyDescent="0.25">
      <c r="A654" t="s">
        <v>746</v>
      </c>
      <c r="B654" t="s">
        <v>153</v>
      </c>
      <c r="C654" t="s">
        <v>107</v>
      </c>
      <c r="D654">
        <v>-95</v>
      </c>
      <c r="E654">
        <f t="shared" si="30"/>
        <v>626.5</v>
      </c>
      <c r="F654" s="12" t="b">
        <f t="shared" si="31"/>
        <v>1</v>
      </c>
      <c r="G654">
        <f>IF(F654,COUNTIFS(F$2:F654,TRUE),"")</f>
        <v>629</v>
      </c>
      <c r="H654" t="str">
        <f t="shared" si="32"/>
        <v>Late 45</v>
      </c>
    </row>
    <row r="655" spans="1:8" x14ac:dyDescent="0.25">
      <c r="A655" t="s">
        <v>750</v>
      </c>
      <c r="B655" t="s">
        <v>153</v>
      </c>
      <c r="C655" t="s">
        <v>648</v>
      </c>
      <c r="D655">
        <v>-95</v>
      </c>
      <c r="E655">
        <f t="shared" si="30"/>
        <v>626.5</v>
      </c>
      <c r="F655" s="12" t="b">
        <f t="shared" si="31"/>
        <v>1</v>
      </c>
      <c r="G655">
        <f>IF(F655,COUNTIFS(F$2:F655,TRUE),"")</f>
        <v>630</v>
      </c>
      <c r="H655" t="str">
        <f t="shared" si="32"/>
        <v>Late 45</v>
      </c>
    </row>
    <row r="656" spans="1:8" x14ac:dyDescent="0.25">
      <c r="A656" t="s">
        <v>868</v>
      </c>
      <c r="B656" t="s">
        <v>153</v>
      </c>
      <c r="C656" t="s">
        <v>768</v>
      </c>
      <c r="D656">
        <v>-95</v>
      </c>
      <c r="E656">
        <f t="shared" si="30"/>
        <v>626.5</v>
      </c>
      <c r="F656" s="12" t="b">
        <f t="shared" si="31"/>
        <v>1</v>
      </c>
      <c r="G656">
        <f>IF(F656,COUNTIFS(F$2:F656,TRUE),"")</f>
        <v>631</v>
      </c>
      <c r="H656" t="str">
        <f t="shared" si="32"/>
        <v>Late 45</v>
      </c>
    </row>
    <row r="657" spans="1:8" x14ac:dyDescent="0.25">
      <c r="A657" t="s">
        <v>872</v>
      </c>
      <c r="B657" t="s">
        <v>153</v>
      </c>
      <c r="C657" t="s">
        <v>772</v>
      </c>
      <c r="D657">
        <v>-95</v>
      </c>
      <c r="E657">
        <f t="shared" si="30"/>
        <v>626.5</v>
      </c>
      <c r="F657" s="12" t="b">
        <f t="shared" si="31"/>
        <v>1</v>
      </c>
      <c r="G657">
        <f>IF(F657,COUNTIFS(F$2:F657,TRUE),"")</f>
        <v>632</v>
      </c>
      <c r="H657" t="str">
        <f t="shared" si="32"/>
        <v>Late 45</v>
      </c>
    </row>
    <row r="658" spans="1:8" x14ac:dyDescent="0.25">
      <c r="A658" t="s">
        <v>873</v>
      </c>
      <c r="B658" t="s">
        <v>153</v>
      </c>
      <c r="C658" t="s">
        <v>772</v>
      </c>
      <c r="D658">
        <v>-95</v>
      </c>
      <c r="E658">
        <f t="shared" si="30"/>
        <v>626.5</v>
      </c>
      <c r="F658" s="12" t="b">
        <f t="shared" si="31"/>
        <v>1</v>
      </c>
      <c r="G658">
        <f>IF(F658,COUNTIFS(F$2:F658,TRUE),"")</f>
        <v>633</v>
      </c>
      <c r="H658" t="str">
        <f t="shared" si="32"/>
        <v>Late 45</v>
      </c>
    </row>
    <row r="659" spans="1:8" x14ac:dyDescent="0.25">
      <c r="A659" t="s">
        <v>890</v>
      </c>
      <c r="B659" t="s">
        <v>153</v>
      </c>
      <c r="C659" t="s">
        <v>787</v>
      </c>
      <c r="D659">
        <v>-95</v>
      </c>
      <c r="E659">
        <f t="shared" si="30"/>
        <v>626.5</v>
      </c>
      <c r="F659" s="12" t="b">
        <f t="shared" si="31"/>
        <v>1</v>
      </c>
      <c r="G659">
        <f>IF(F659,COUNTIFS(F$2:F659,TRUE),"")</f>
        <v>634</v>
      </c>
      <c r="H659" t="str">
        <f t="shared" si="32"/>
        <v>Late 45</v>
      </c>
    </row>
    <row r="660" spans="1:8" x14ac:dyDescent="0.25">
      <c r="A660" t="s">
        <v>201</v>
      </c>
      <c r="B660" t="s">
        <v>139</v>
      </c>
      <c r="C660" t="s">
        <v>172</v>
      </c>
      <c r="D660">
        <v>-95.4</v>
      </c>
      <c r="E660">
        <f t="shared" si="30"/>
        <v>659</v>
      </c>
      <c r="F660" s="12" t="b">
        <f t="shared" si="31"/>
        <v>1</v>
      </c>
      <c r="G660">
        <f>IF(F660,COUNTIFS(F$2:F660,TRUE),"")</f>
        <v>635</v>
      </c>
      <c r="H660" t="str">
        <f t="shared" si="32"/>
        <v>Early 48</v>
      </c>
    </row>
    <row r="661" spans="1:8" x14ac:dyDescent="0.25">
      <c r="A661" t="s">
        <v>416</v>
      </c>
      <c r="B661" t="s">
        <v>116</v>
      </c>
      <c r="C661" t="s">
        <v>417</v>
      </c>
      <c r="D661">
        <v>-103.83999999999997</v>
      </c>
      <c r="E661">
        <f t="shared" si="30"/>
        <v>660</v>
      </c>
      <c r="F661" s="12" t="b">
        <f t="shared" si="31"/>
        <v>1</v>
      </c>
      <c r="G661">
        <f>IF(F661,COUNTIFS(F$2:F661,TRUE),"")</f>
        <v>636</v>
      </c>
      <c r="H661" t="str">
        <f t="shared" si="32"/>
        <v>Early 48</v>
      </c>
    </row>
    <row r="662" spans="1:8" x14ac:dyDescent="0.25">
      <c r="A662" t="s">
        <v>382</v>
      </c>
      <c r="B662" t="s">
        <v>158</v>
      </c>
      <c r="C662" t="s">
        <v>279</v>
      </c>
      <c r="D662">
        <v>-108.4</v>
      </c>
      <c r="E662">
        <f t="shared" si="30"/>
        <v>662</v>
      </c>
      <c r="F662" s="12" t="b">
        <f t="shared" si="31"/>
        <v>1</v>
      </c>
      <c r="G662">
        <f>IF(F662,COUNTIFS(F$2:F662,TRUE),"")</f>
        <v>637</v>
      </c>
      <c r="H662" t="str">
        <f t="shared" si="32"/>
        <v>Early 48</v>
      </c>
    </row>
    <row r="663" spans="1:8" x14ac:dyDescent="0.25">
      <c r="A663" t="s">
        <v>384</v>
      </c>
      <c r="B663" t="s">
        <v>158</v>
      </c>
      <c r="C663" t="s">
        <v>283</v>
      </c>
      <c r="D663">
        <v>-108.4</v>
      </c>
      <c r="E663">
        <f t="shared" si="30"/>
        <v>662</v>
      </c>
      <c r="F663" s="12" t="b">
        <f t="shared" si="31"/>
        <v>1</v>
      </c>
      <c r="G663">
        <f>IF(F663,COUNTIFS(F$2:F663,TRUE),"")</f>
        <v>638</v>
      </c>
      <c r="H663" t="str">
        <f t="shared" si="32"/>
        <v>Early 48</v>
      </c>
    </row>
    <row r="664" spans="1:8" x14ac:dyDescent="0.25">
      <c r="A664" t="s">
        <v>754</v>
      </c>
      <c r="B664" t="s">
        <v>158</v>
      </c>
      <c r="C664" t="s">
        <v>635</v>
      </c>
      <c r="D664">
        <v>-108.4</v>
      </c>
      <c r="E664">
        <f t="shared" si="30"/>
        <v>662</v>
      </c>
      <c r="F664" s="12" t="b">
        <f t="shared" si="31"/>
        <v>1</v>
      </c>
      <c r="G664">
        <f>IF(F664,COUNTIFS(F$2:F664,TRUE),"")</f>
        <v>639</v>
      </c>
      <c r="H664" t="str">
        <f t="shared" si="32"/>
        <v>Early 48</v>
      </c>
    </row>
    <row r="665" spans="1:8" x14ac:dyDescent="0.25">
      <c r="A665" t="s">
        <v>773</v>
      </c>
      <c r="B665" t="s">
        <v>116</v>
      </c>
      <c r="C665" t="s">
        <v>774</v>
      </c>
      <c r="D665">
        <v>-119.01999999999995</v>
      </c>
      <c r="E665">
        <f t="shared" si="30"/>
        <v>664</v>
      </c>
      <c r="F665" s="12" t="b">
        <f t="shared" si="31"/>
        <v>1</v>
      </c>
      <c r="G665">
        <f>IF(F665,COUNTIFS(F$2:F665,TRUE),"")</f>
        <v>640</v>
      </c>
      <c r="H665" t="str">
        <f t="shared" si="32"/>
        <v>Mid 48</v>
      </c>
    </row>
    <row r="666" spans="1:8" x14ac:dyDescent="0.25">
      <c r="A666" t="s">
        <v>115</v>
      </c>
      <c r="B666" t="s">
        <v>116</v>
      </c>
      <c r="C666" t="s">
        <v>107</v>
      </c>
      <c r="D666">
        <v>-134.19999999999996</v>
      </c>
      <c r="E666">
        <f t="shared" si="30"/>
        <v>665</v>
      </c>
      <c r="F666" s="12" t="b">
        <f t="shared" si="31"/>
        <v>1</v>
      </c>
      <c r="G666">
        <f>IF(F666,COUNTIFS(F$2:F666,TRUE),"")</f>
        <v>641</v>
      </c>
      <c r="H666" t="str">
        <f t="shared" si="32"/>
        <v>Mid 48</v>
      </c>
    </row>
    <row r="667" spans="1:8" x14ac:dyDescent="0.25">
      <c r="A667" t="s">
        <v>291</v>
      </c>
      <c r="B667" t="s">
        <v>116</v>
      </c>
      <c r="C667" t="s">
        <v>292</v>
      </c>
      <c r="D667">
        <v>-144.94</v>
      </c>
      <c r="E667">
        <f t="shared" si="30"/>
        <v>666</v>
      </c>
      <c r="F667" s="12" t="b">
        <f t="shared" si="31"/>
        <v>1</v>
      </c>
      <c r="G667">
        <f>IF(F667,COUNTIFS(F$2:F667,TRUE),"")</f>
        <v>642</v>
      </c>
      <c r="H667" t="str">
        <f t="shared" si="32"/>
        <v>Mid 48</v>
      </c>
    </row>
    <row r="668" spans="1:8" x14ac:dyDescent="0.25">
      <c r="A668" t="s">
        <v>775</v>
      </c>
      <c r="B668" t="s">
        <v>116</v>
      </c>
      <c r="C668" t="s">
        <v>774</v>
      </c>
      <c r="D668">
        <v>-202.77999999999997</v>
      </c>
      <c r="E668">
        <f t="shared" si="30"/>
        <v>667</v>
      </c>
      <c r="F668" s="12" t="b">
        <f t="shared" si="31"/>
        <v>1</v>
      </c>
      <c r="G668">
        <f>IF(F668,COUNTIFS(F$2:F668,TRUE),"")</f>
        <v>643</v>
      </c>
      <c r="H668" t="str">
        <f t="shared" si="32"/>
        <v>Mid 48</v>
      </c>
    </row>
    <row r="669" spans="1:8" x14ac:dyDescent="0.25">
      <c r="A669" t="s">
        <v>117</v>
      </c>
      <c r="B669" t="s">
        <v>116</v>
      </c>
      <c r="C669" t="s">
        <v>107</v>
      </c>
      <c r="D669">
        <v>-242.38</v>
      </c>
      <c r="E669">
        <f t="shared" si="30"/>
        <v>668</v>
      </c>
      <c r="F669" s="12" t="b">
        <f t="shared" si="31"/>
        <v>1</v>
      </c>
      <c r="G669">
        <f>IF(F669,COUNTIFS(F$2:F669,TRUE),"")</f>
        <v>644</v>
      </c>
      <c r="H669" t="str">
        <f t="shared" si="32"/>
        <v>Late 48</v>
      </c>
    </row>
    <row r="670" spans="1:8" x14ac:dyDescent="0.25">
      <c r="A670" t="s">
        <v>431</v>
      </c>
      <c r="B670" t="s">
        <v>116</v>
      </c>
      <c r="C670" t="s">
        <v>430</v>
      </c>
      <c r="D670">
        <v>-247.35999999999996</v>
      </c>
      <c r="E670">
        <f t="shared" si="30"/>
        <v>669</v>
      </c>
      <c r="F670" s="12" t="b">
        <f t="shared" si="31"/>
        <v>1</v>
      </c>
      <c r="G670">
        <f>IF(F670,COUNTIFS(F$2:F670,TRUE),"")</f>
        <v>645</v>
      </c>
      <c r="H670" t="str">
        <f t="shared" si="32"/>
        <v>Late 48</v>
      </c>
    </row>
    <row r="671" spans="1:8" x14ac:dyDescent="0.25">
      <c r="A671" t="s">
        <v>293</v>
      </c>
      <c r="B671" t="s">
        <v>116</v>
      </c>
      <c r="C671" t="s">
        <v>292</v>
      </c>
      <c r="D671">
        <v>-259.33999999999997</v>
      </c>
      <c r="E671">
        <f t="shared" si="30"/>
        <v>670</v>
      </c>
      <c r="F671" s="12" t="b">
        <f t="shared" si="31"/>
        <v>1</v>
      </c>
      <c r="G671">
        <f>IF(F671,COUNTIFS(F$2:F671,TRUE),"")</f>
        <v>646</v>
      </c>
      <c r="H671" t="str">
        <f t="shared" si="32"/>
        <v>Late 48</v>
      </c>
    </row>
    <row r="672" spans="1:8" x14ac:dyDescent="0.25">
      <c r="A672" t="s">
        <v>284</v>
      </c>
      <c r="B672" t="s">
        <v>116</v>
      </c>
      <c r="C672" t="s">
        <v>283</v>
      </c>
      <c r="D672">
        <v>-267.29999999999995</v>
      </c>
      <c r="E672">
        <f t="shared" si="30"/>
        <v>671</v>
      </c>
      <c r="F672" s="12" t="b">
        <f t="shared" si="31"/>
        <v>1</v>
      </c>
      <c r="G672">
        <f>IF(F672,COUNTIFS(F$2:F672,TRUE),"")</f>
        <v>647</v>
      </c>
      <c r="H672" t="str">
        <f t="shared" si="32"/>
        <v>Late 48</v>
      </c>
    </row>
    <row r="673" spans="1:8" x14ac:dyDescent="0.25">
      <c r="A673" t="s">
        <v>289</v>
      </c>
      <c r="B673" t="s">
        <v>116</v>
      </c>
      <c r="C673" t="s">
        <v>288</v>
      </c>
      <c r="D673">
        <v>-273.14</v>
      </c>
      <c r="E673">
        <f t="shared" si="30"/>
        <v>672</v>
      </c>
      <c r="F673" s="12" t="b">
        <f t="shared" si="31"/>
        <v>1</v>
      </c>
      <c r="G673">
        <f>IF(F673,COUNTIFS(F$2:F673,TRUE),"")</f>
        <v>648</v>
      </c>
      <c r="H673" t="str">
        <f t="shared" si="32"/>
        <v>Late 48</v>
      </c>
    </row>
    <row r="674" spans="1:8" x14ac:dyDescent="0.25">
      <c r="A674" t="s">
        <v>418</v>
      </c>
      <c r="B674" t="s">
        <v>116</v>
      </c>
      <c r="C674" t="s">
        <v>417</v>
      </c>
      <c r="D674">
        <v>-285.89999999999998</v>
      </c>
      <c r="E674">
        <f t="shared" si="30"/>
        <v>673</v>
      </c>
      <c r="F674" s="12" t="b">
        <f t="shared" si="31"/>
        <v>1</v>
      </c>
      <c r="G674">
        <f>IF(F674,COUNTIFS(F$2:F674,TRUE),"")</f>
        <v>649</v>
      </c>
      <c r="H674" t="str">
        <f t="shared" si="32"/>
        <v>Early 49</v>
      </c>
    </row>
    <row r="675" spans="1:8" x14ac:dyDescent="0.25">
      <c r="A675" t="s">
        <v>274</v>
      </c>
      <c r="B675" t="s">
        <v>116</v>
      </c>
      <c r="C675" t="s">
        <v>273</v>
      </c>
      <c r="D675">
        <v>-285.94</v>
      </c>
      <c r="E675">
        <f t="shared" si="30"/>
        <v>674</v>
      </c>
      <c r="F675" s="12" t="b">
        <f t="shared" si="31"/>
        <v>1</v>
      </c>
      <c r="G675">
        <f>IF(F675,COUNTIFS(F$2:F675,TRUE),"")</f>
        <v>650</v>
      </c>
      <c r="H675" t="str">
        <f t="shared" si="32"/>
        <v>Early 49</v>
      </c>
    </row>
    <row r="676" spans="1:8" x14ac:dyDescent="0.25">
      <c r="A676" t="s">
        <v>294</v>
      </c>
      <c r="B676" t="s">
        <v>116</v>
      </c>
      <c r="C676" t="s">
        <v>292</v>
      </c>
      <c r="D676">
        <v>-289.95999999999998</v>
      </c>
      <c r="E676">
        <f t="shared" si="30"/>
        <v>675</v>
      </c>
      <c r="F676" s="12" t="b">
        <f t="shared" si="31"/>
        <v>1</v>
      </c>
      <c r="G676">
        <f>IF(F676,COUNTIFS(F$2:F676,TRUE),"")</f>
        <v>651</v>
      </c>
      <c r="H676" t="str">
        <f t="shared" si="32"/>
        <v>Early 49</v>
      </c>
    </row>
    <row r="677" spans="1:8" x14ac:dyDescent="0.25">
      <c r="A677" t="s">
        <v>401</v>
      </c>
      <c r="B677" t="s">
        <v>116</v>
      </c>
      <c r="C677" t="s">
        <v>400</v>
      </c>
      <c r="D677">
        <v>-299.53999999999996</v>
      </c>
      <c r="E677">
        <f t="shared" si="30"/>
        <v>676</v>
      </c>
      <c r="F677" s="12" t="b">
        <f t="shared" si="31"/>
        <v>1</v>
      </c>
      <c r="G677">
        <f>IF(F677,COUNTIFS(F$2:F677,TRUE),"")</f>
        <v>652</v>
      </c>
      <c r="H677" t="str">
        <f t="shared" si="32"/>
        <v>Early 49</v>
      </c>
    </row>
    <row r="678" spans="1:8" x14ac:dyDescent="0.25">
      <c r="A678" t="s">
        <v>640</v>
      </c>
      <c r="B678" t="s">
        <v>116</v>
      </c>
      <c r="C678" t="s">
        <v>639</v>
      </c>
      <c r="D678">
        <v>-299.67999999999995</v>
      </c>
      <c r="E678">
        <f t="shared" si="30"/>
        <v>677</v>
      </c>
      <c r="F678" s="12" t="b">
        <f t="shared" si="31"/>
        <v>1</v>
      </c>
      <c r="G678">
        <f>IF(F678,COUNTIFS(F$2:F678,TRUE),"")</f>
        <v>653</v>
      </c>
      <c r="H678" t="str">
        <f t="shared" si="32"/>
        <v>Early 49</v>
      </c>
    </row>
    <row r="679" spans="1:8" x14ac:dyDescent="0.25">
      <c r="A679" t="s">
        <v>788</v>
      </c>
      <c r="B679" t="s">
        <v>116</v>
      </c>
      <c r="C679" t="s">
        <v>787</v>
      </c>
      <c r="D679">
        <v>-304.23999999999995</v>
      </c>
      <c r="E679">
        <f t="shared" si="30"/>
        <v>678</v>
      </c>
      <c r="F679" s="12" t="b">
        <f t="shared" si="31"/>
        <v>1</v>
      </c>
      <c r="G679">
        <f>IF(F679,COUNTIFS(F$2:F679,TRUE),"")</f>
        <v>654</v>
      </c>
      <c r="H679" t="str">
        <f t="shared" si="32"/>
        <v>Mid 49</v>
      </c>
    </row>
    <row r="680" spans="1:8" x14ac:dyDescent="0.25">
      <c r="A680" t="s">
        <v>118</v>
      </c>
      <c r="B680" t="s">
        <v>116</v>
      </c>
      <c r="C680" t="s">
        <v>107</v>
      </c>
      <c r="D680">
        <v>-305.55999999999995</v>
      </c>
      <c r="E680">
        <f t="shared" si="30"/>
        <v>679</v>
      </c>
      <c r="F680" s="12" t="b">
        <f t="shared" si="31"/>
        <v>1</v>
      </c>
      <c r="G680">
        <f>IF(F680,COUNTIFS(F$2:F680,TRUE),"")</f>
        <v>655</v>
      </c>
      <c r="H680" t="str">
        <f t="shared" si="32"/>
        <v>Mid 49</v>
      </c>
    </row>
    <row r="681" spans="1:8" x14ac:dyDescent="0.25">
      <c r="A681" t="s">
        <v>280</v>
      </c>
      <c r="B681" t="s">
        <v>116</v>
      </c>
      <c r="C681" t="s">
        <v>279</v>
      </c>
      <c r="D681">
        <v>-305.59999999999997</v>
      </c>
      <c r="E681">
        <f t="shared" si="30"/>
        <v>680.5</v>
      </c>
      <c r="F681" s="12" t="b">
        <f t="shared" si="31"/>
        <v>1</v>
      </c>
      <c r="G681">
        <f>IF(F681,COUNTIFS(F$2:F681,TRUE),"")</f>
        <v>656</v>
      </c>
      <c r="H681" t="str">
        <f t="shared" si="32"/>
        <v>Mid 49</v>
      </c>
    </row>
    <row r="682" spans="1:8" x14ac:dyDescent="0.25">
      <c r="A682" t="s">
        <v>285</v>
      </c>
      <c r="B682" t="s">
        <v>116</v>
      </c>
      <c r="C682" t="s">
        <v>283</v>
      </c>
      <c r="D682">
        <v>-305.59999999999997</v>
      </c>
      <c r="E682">
        <f t="shared" si="30"/>
        <v>680.5</v>
      </c>
      <c r="F682" s="12" t="b">
        <f t="shared" si="31"/>
        <v>1</v>
      </c>
      <c r="G682">
        <f>IF(F682,COUNTIFS(F$2:F682,TRUE),"")</f>
        <v>657</v>
      </c>
      <c r="H682" t="str">
        <f t="shared" si="32"/>
        <v>Mid 49</v>
      </c>
    </row>
    <row r="683" spans="1:8" x14ac:dyDescent="0.25">
      <c r="A683" t="s">
        <v>173</v>
      </c>
      <c r="B683" t="s">
        <v>116</v>
      </c>
      <c r="C683" t="s">
        <v>172</v>
      </c>
      <c r="D683">
        <v>-307.26</v>
      </c>
      <c r="E683">
        <f t="shared" si="30"/>
        <v>682</v>
      </c>
      <c r="F683" s="12" t="b">
        <f t="shared" si="31"/>
        <v>1</v>
      </c>
      <c r="G683">
        <f>IF(F683,COUNTIFS(F$2:F683,TRUE),"")</f>
        <v>658</v>
      </c>
      <c r="H683" t="str">
        <f t="shared" si="32"/>
        <v>Late 49</v>
      </c>
    </row>
    <row r="684" spans="1:8" x14ac:dyDescent="0.25">
      <c r="A684" t="s">
        <v>645</v>
      </c>
      <c r="B684" t="s">
        <v>116</v>
      </c>
      <c r="C684" t="s">
        <v>644</v>
      </c>
      <c r="D684">
        <v>-307.35999999999996</v>
      </c>
      <c r="E684">
        <f t="shared" si="30"/>
        <v>683</v>
      </c>
      <c r="F684" s="12" t="b">
        <f t="shared" si="31"/>
        <v>1</v>
      </c>
      <c r="G684">
        <f>IF(F684,COUNTIFS(F$2:F684,TRUE),"")</f>
        <v>659</v>
      </c>
      <c r="H684" t="str">
        <f t="shared" si="32"/>
        <v>Late 49</v>
      </c>
    </row>
    <row r="685" spans="1:8" x14ac:dyDescent="0.25">
      <c r="A685" t="s">
        <v>780</v>
      </c>
      <c r="B685" t="s">
        <v>116</v>
      </c>
      <c r="C685" t="s">
        <v>779</v>
      </c>
      <c r="D685">
        <v>-307.73999999999995</v>
      </c>
      <c r="E685">
        <f t="shared" si="30"/>
        <v>684</v>
      </c>
      <c r="F685" s="12" t="b">
        <f t="shared" si="31"/>
        <v>1</v>
      </c>
      <c r="G685">
        <f>IF(F685,COUNTIFS(F$2:F685,TRUE),"")</f>
        <v>660</v>
      </c>
      <c r="H685" t="str">
        <f t="shared" si="32"/>
        <v>Late 49</v>
      </c>
    </row>
    <row r="686" spans="1:8" x14ac:dyDescent="0.25">
      <c r="A686" t="s">
        <v>784</v>
      </c>
      <c r="B686" t="s">
        <v>116</v>
      </c>
      <c r="C686" t="s">
        <v>783</v>
      </c>
      <c r="D686">
        <v>-308.08</v>
      </c>
      <c r="E686">
        <f t="shared" si="30"/>
        <v>685.5</v>
      </c>
      <c r="F686" s="12" t="b">
        <f t="shared" si="31"/>
        <v>1</v>
      </c>
      <c r="G686">
        <f>IF(F686,COUNTIFS(F$2:F686,TRUE),"")</f>
        <v>661</v>
      </c>
      <c r="H686" t="str">
        <f t="shared" si="32"/>
        <v>Late 49</v>
      </c>
    </row>
    <row r="687" spans="1:8" x14ac:dyDescent="0.25">
      <c r="A687" t="s">
        <v>394</v>
      </c>
      <c r="B687" t="s">
        <v>116</v>
      </c>
      <c r="C687" t="s">
        <v>393</v>
      </c>
      <c r="D687">
        <v>-308.08</v>
      </c>
      <c r="E687">
        <f t="shared" si="30"/>
        <v>685.5</v>
      </c>
      <c r="F687" s="12" t="b">
        <f t="shared" si="31"/>
        <v>1</v>
      </c>
      <c r="G687">
        <f>IF(F687,COUNTIFS(F$2:F687,TRUE),"")</f>
        <v>662</v>
      </c>
      <c r="H687" t="str">
        <f t="shared" si="32"/>
        <v>Late 49</v>
      </c>
    </row>
    <row r="688" spans="1:8" x14ac:dyDescent="0.25">
      <c r="A688" t="s">
        <v>136</v>
      </c>
      <c r="B688" t="s">
        <v>116</v>
      </c>
      <c r="C688" t="s">
        <v>135</v>
      </c>
      <c r="D688">
        <v>-308.27999999999997</v>
      </c>
      <c r="E688">
        <f t="shared" si="30"/>
        <v>687</v>
      </c>
      <c r="F688" s="12" t="b">
        <f t="shared" si="31"/>
        <v>1</v>
      </c>
      <c r="G688">
        <f>IF(F688,COUNTIFS(F$2:F688,TRUE),"")</f>
        <v>663</v>
      </c>
      <c r="H688" t="str">
        <f t="shared" si="32"/>
        <v>Early 50</v>
      </c>
    </row>
    <row r="689" spans="1:8" x14ac:dyDescent="0.25">
      <c r="A689" t="s">
        <v>427</v>
      </c>
      <c r="B689" t="s">
        <v>116</v>
      </c>
      <c r="C689" t="s">
        <v>426</v>
      </c>
      <c r="D689">
        <v>-308.94</v>
      </c>
      <c r="E689">
        <f t="shared" si="30"/>
        <v>688</v>
      </c>
      <c r="F689" s="12" t="b">
        <f t="shared" si="31"/>
        <v>1</v>
      </c>
      <c r="G689">
        <f>IF(F689,COUNTIFS(F$2:F689,TRUE),"")</f>
        <v>664</v>
      </c>
      <c r="H689" t="str">
        <f t="shared" si="32"/>
        <v>Early 50</v>
      </c>
    </row>
    <row r="690" spans="1:8" x14ac:dyDescent="0.25">
      <c r="A690" t="s">
        <v>641</v>
      </c>
      <c r="B690" t="s">
        <v>116</v>
      </c>
      <c r="C690" t="s">
        <v>639</v>
      </c>
      <c r="D690">
        <v>-309.09999999999997</v>
      </c>
      <c r="E690">
        <f t="shared" si="30"/>
        <v>689</v>
      </c>
      <c r="F690" s="12" t="b">
        <f t="shared" si="31"/>
        <v>1</v>
      </c>
      <c r="G690">
        <f>IF(F690,COUNTIFS(F$2:F690,TRUE),"")</f>
        <v>665</v>
      </c>
      <c r="H690" t="str">
        <f t="shared" si="32"/>
        <v>Early 50</v>
      </c>
    </row>
    <row r="691" spans="1:8" x14ac:dyDescent="0.25">
      <c r="A691" t="s">
        <v>168</v>
      </c>
      <c r="B691" t="s">
        <v>116</v>
      </c>
      <c r="C691" t="s">
        <v>167</v>
      </c>
      <c r="D691">
        <v>-310.03999999999996</v>
      </c>
      <c r="E691">
        <f t="shared" si="30"/>
        <v>690.5</v>
      </c>
      <c r="F691" s="12" t="b">
        <f t="shared" si="31"/>
        <v>1</v>
      </c>
      <c r="G691">
        <f>IF(F691,COUNTIFS(F$2:F691,TRUE),"")</f>
        <v>666</v>
      </c>
      <c r="H691" t="str">
        <f t="shared" si="32"/>
        <v>Early 50</v>
      </c>
    </row>
    <row r="692" spans="1:8" x14ac:dyDescent="0.25">
      <c r="A692" t="s">
        <v>405</v>
      </c>
      <c r="B692" t="s">
        <v>116</v>
      </c>
      <c r="C692" t="s">
        <v>404</v>
      </c>
      <c r="D692">
        <v>-310.03999999999996</v>
      </c>
      <c r="E692">
        <f t="shared" si="30"/>
        <v>690.5</v>
      </c>
      <c r="F692" s="12" t="b">
        <f t="shared" si="31"/>
        <v>1</v>
      </c>
      <c r="G692">
        <f>IF(F692,COUNTIFS(F$2:F692,TRUE),"")</f>
        <v>667</v>
      </c>
      <c r="H692" t="str">
        <f t="shared" si="32"/>
        <v>Early 50</v>
      </c>
    </row>
    <row r="693" spans="1:8" x14ac:dyDescent="0.25">
      <c r="A693" t="s">
        <v>413</v>
      </c>
      <c r="B693" t="s">
        <v>116</v>
      </c>
      <c r="C693" t="s">
        <v>411</v>
      </c>
      <c r="D693">
        <v>-310.14</v>
      </c>
      <c r="E693">
        <f t="shared" si="30"/>
        <v>692</v>
      </c>
      <c r="F693" s="12" t="b">
        <f t="shared" si="31"/>
        <v>1</v>
      </c>
      <c r="G693">
        <f>IF(F693,COUNTIFS(F$2:F693,TRUE),"")</f>
        <v>668</v>
      </c>
      <c r="H693" t="str">
        <f t="shared" si="32"/>
        <v>Mid 50</v>
      </c>
    </row>
    <row r="694" spans="1:8" x14ac:dyDescent="0.25">
      <c r="A694" t="s">
        <v>650</v>
      </c>
      <c r="B694" t="s">
        <v>116</v>
      </c>
      <c r="C694" t="s">
        <v>648</v>
      </c>
      <c r="D694">
        <v>-310.5</v>
      </c>
      <c r="E694">
        <f t="shared" si="30"/>
        <v>693</v>
      </c>
      <c r="F694" s="12" t="b">
        <f t="shared" si="31"/>
        <v>1</v>
      </c>
      <c r="G694">
        <f>IF(F694,COUNTIFS(F$2:F694,TRUE),"")</f>
        <v>669</v>
      </c>
      <c r="H694" t="str">
        <f t="shared" si="32"/>
        <v>Mid 50</v>
      </c>
    </row>
    <row r="695" spans="1:8" x14ac:dyDescent="0.25">
      <c r="A695" t="s">
        <v>275</v>
      </c>
      <c r="B695" t="s">
        <v>116</v>
      </c>
      <c r="C695" t="s">
        <v>273</v>
      </c>
      <c r="D695">
        <v>-311</v>
      </c>
      <c r="E695">
        <f t="shared" si="30"/>
        <v>694</v>
      </c>
      <c r="F695" s="12" t="b">
        <f t="shared" si="31"/>
        <v>1</v>
      </c>
      <c r="G695">
        <f>IF(F695,COUNTIFS(F$2:F695,TRUE),"")</f>
        <v>670</v>
      </c>
      <c r="H695" t="str">
        <f t="shared" si="32"/>
        <v>Mid 50</v>
      </c>
    </row>
    <row r="696" spans="1:8" x14ac:dyDescent="0.25">
      <c r="A696" t="s">
        <v>769</v>
      </c>
      <c r="B696" t="s">
        <v>116</v>
      </c>
      <c r="C696" t="s">
        <v>768</v>
      </c>
      <c r="D696">
        <v>-311.09999999999997</v>
      </c>
      <c r="E696">
        <f t="shared" si="30"/>
        <v>695</v>
      </c>
      <c r="F696" s="12" t="b">
        <f t="shared" si="31"/>
        <v>1</v>
      </c>
      <c r="G696">
        <f>IF(F696,COUNTIFS(F$2:F696,TRUE),"")</f>
        <v>671</v>
      </c>
      <c r="H696" t="str">
        <f t="shared" si="32"/>
        <v>Mid 50</v>
      </c>
    </row>
    <row r="697" spans="1:8" x14ac:dyDescent="0.25">
      <c r="A697" t="s">
        <v>649</v>
      </c>
      <c r="B697" t="s">
        <v>116</v>
      </c>
      <c r="C697" t="s">
        <v>648</v>
      </c>
      <c r="D697">
        <v>-311.15999999999997</v>
      </c>
      <c r="E697">
        <f t="shared" si="30"/>
        <v>696</v>
      </c>
      <c r="F697" s="12" t="b">
        <f t="shared" si="31"/>
        <v>1</v>
      </c>
      <c r="G697">
        <f>IF(F697,COUNTIFS(F$2:F697,TRUE),"")</f>
        <v>672</v>
      </c>
      <c r="H697" t="str">
        <f t="shared" si="32"/>
        <v>Late 50</v>
      </c>
    </row>
    <row r="698" spans="1:8" x14ac:dyDescent="0.25">
      <c r="A698" t="s">
        <v>412</v>
      </c>
      <c r="B698" t="s">
        <v>116</v>
      </c>
      <c r="C698" t="s">
        <v>411</v>
      </c>
      <c r="D698">
        <v>-311.65999999999997</v>
      </c>
      <c r="E698">
        <f t="shared" si="30"/>
        <v>697</v>
      </c>
      <c r="F698" s="12" t="b">
        <f t="shared" si="31"/>
        <v>1</v>
      </c>
      <c r="G698">
        <f>IF(F698,COUNTIFS(F$2:F698,TRUE),"")</f>
        <v>673</v>
      </c>
      <c r="H698" t="str">
        <f t="shared" si="32"/>
        <v>Late 50</v>
      </c>
    </row>
    <row r="699" spans="1:8" x14ac:dyDescent="0.25">
      <c r="A699" t="s">
        <v>409</v>
      </c>
      <c r="B699" t="s">
        <v>116</v>
      </c>
      <c r="C699" t="s">
        <v>408</v>
      </c>
      <c r="D699">
        <v>-312.11999999999995</v>
      </c>
      <c r="E699">
        <f t="shared" si="30"/>
        <v>698</v>
      </c>
      <c r="F699" s="12" t="b">
        <f t="shared" si="31"/>
        <v>1</v>
      </c>
      <c r="G699">
        <f>IF(F699,COUNTIFS(F$2:F699,TRUE),"")</f>
        <v>674</v>
      </c>
      <c r="H699" t="str">
        <f t="shared" si="32"/>
        <v>Late 50</v>
      </c>
    </row>
    <row r="700" spans="1:8" x14ac:dyDescent="0.25">
      <c r="A700" t="s">
        <v>290</v>
      </c>
      <c r="B700" t="s">
        <v>116</v>
      </c>
      <c r="C700" t="s">
        <v>288</v>
      </c>
      <c r="D700">
        <v>-312.56</v>
      </c>
      <c r="E700">
        <f t="shared" si="30"/>
        <v>699</v>
      </c>
      <c r="F700" s="12" t="b">
        <f t="shared" si="31"/>
        <v>1</v>
      </c>
      <c r="G700">
        <f>IF(F700,COUNTIFS(F$2:F700,TRUE),"")</f>
        <v>675</v>
      </c>
      <c r="H700" t="str">
        <f t="shared" si="32"/>
        <v>Late 50</v>
      </c>
    </row>
    <row r="701" spans="1:8" x14ac:dyDescent="0.25">
      <c r="A701" t="s">
        <v>177</v>
      </c>
      <c r="B701" t="s">
        <v>116</v>
      </c>
      <c r="C701" t="s">
        <v>176</v>
      </c>
      <c r="D701">
        <v>-313</v>
      </c>
      <c r="E701">
        <f t="shared" si="30"/>
        <v>700</v>
      </c>
      <c r="F701" s="12" t="b">
        <f t="shared" si="31"/>
        <v>1</v>
      </c>
      <c r="G701">
        <f>IF(F701,COUNTIFS(F$2:F701,TRUE),"")</f>
        <v>676</v>
      </c>
      <c r="H701" t="str">
        <f t="shared" si="32"/>
        <v>Late 50</v>
      </c>
    </row>
    <row r="702" spans="1:8" x14ac:dyDescent="0.25">
      <c r="A702" t="s">
        <v>770</v>
      </c>
      <c r="B702" t="s">
        <v>116</v>
      </c>
      <c r="C702" t="s">
        <v>768</v>
      </c>
      <c r="D702">
        <v>-313.08</v>
      </c>
      <c r="E702">
        <f t="shared" si="30"/>
        <v>701</v>
      </c>
      <c r="F702" s="12" t="b">
        <f t="shared" si="31"/>
        <v>1</v>
      </c>
      <c r="G702">
        <f>IF(F702,COUNTIFS(F$2:F702,TRUE),"")</f>
        <v>677</v>
      </c>
      <c r="H702" t="str">
        <f t="shared" si="32"/>
        <v>Early 51</v>
      </c>
    </row>
    <row r="703" spans="1:8" x14ac:dyDescent="0.25">
      <c r="A703" t="s">
        <v>636</v>
      </c>
      <c r="B703" t="s">
        <v>116</v>
      </c>
      <c r="C703" t="s">
        <v>635</v>
      </c>
      <c r="D703">
        <v>-313.82</v>
      </c>
      <c r="E703">
        <f t="shared" si="30"/>
        <v>702</v>
      </c>
      <c r="F703" s="12" t="b">
        <f t="shared" si="31"/>
        <v>1</v>
      </c>
      <c r="G703">
        <f>IF(F703,COUNTIFS(F$2:F703,TRUE),"")</f>
        <v>678</v>
      </c>
      <c r="H703" t="str">
        <f t="shared" si="32"/>
        <v>Early 51</v>
      </c>
    </row>
    <row r="704" spans="1:8" x14ac:dyDescent="0.25">
      <c r="A704" t="s">
        <v>163</v>
      </c>
      <c r="B704" t="s">
        <v>116</v>
      </c>
      <c r="C704" t="s">
        <v>162</v>
      </c>
      <c r="D704">
        <v>-317.61999999999995</v>
      </c>
      <c r="E704">
        <f t="shared" si="30"/>
        <v>703</v>
      </c>
      <c r="F704" s="12" t="b">
        <f t="shared" si="31"/>
        <v>1</v>
      </c>
      <c r="G704">
        <f>IF(F704,COUNTIFS(F$2:F704,TRUE),"")</f>
        <v>679</v>
      </c>
      <c r="H704" t="str">
        <f t="shared" si="32"/>
        <v>Early 51</v>
      </c>
    </row>
    <row r="705" spans="1:8" x14ac:dyDescent="0.25">
      <c r="A705" t="s">
        <v>286</v>
      </c>
      <c r="B705" t="s">
        <v>116</v>
      </c>
      <c r="C705" t="s">
        <v>283</v>
      </c>
      <c r="D705">
        <v>-318.56</v>
      </c>
      <c r="E705">
        <f t="shared" si="30"/>
        <v>704</v>
      </c>
      <c r="F705" s="12" t="b">
        <f t="shared" si="31"/>
        <v>1</v>
      </c>
      <c r="G705">
        <f>IF(F705,COUNTIFS(F$2:F705,TRUE),"")</f>
        <v>680</v>
      </c>
      <c r="H705" t="str">
        <f t="shared" si="32"/>
        <v>Early 51</v>
      </c>
    </row>
    <row r="706" spans="1:8" x14ac:dyDescent="0.25">
      <c r="A706" t="s">
        <v>422</v>
      </c>
      <c r="B706" t="s">
        <v>116</v>
      </c>
      <c r="C706" t="s">
        <v>421</v>
      </c>
      <c r="D706">
        <v>-318.64</v>
      </c>
      <c r="E706">
        <f t="shared" ref="E706:E738" si="33">_xlfn.RANK.AVG(D706,$D$2:$D$738,0)</f>
        <v>705</v>
      </c>
      <c r="F706" s="12" t="b">
        <f t="shared" si="31"/>
        <v>1</v>
      </c>
      <c r="G706">
        <f>IF(F706,COUNTIFS(F$2:F706,TRUE),"")</f>
        <v>681</v>
      </c>
      <c r="H706" t="str">
        <f t="shared" si="32"/>
        <v>Early 51</v>
      </c>
    </row>
    <row r="707" spans="1:8" x14ac:dyDescent="0.25">
      <c r="A707" t="s">
        <v>398</v>
      </c>
      <c r="B707" t="s">
        <v>116</v>
      </c>
      <c r="C707" t="s">
        <v>397</v>
      </c>
      <c r="D707">
        <v>-319.47999999999996</v>
      </c>
      <c r="E707">
        <f t="shared" si="33"/>
        <v>706</v>
      </c>
      <c r="F707" s="12" t="b">
        <f t="shared" ref="F707:F738" si="34">color_fill(E707)</f>
        <v>1</v>
      </c>
      <c r="G707">
        <f>IF(F707,COUNTIFS(F$2:F707,TRUE),"")</f>
        <v>682</v>
      </c>
      <c r="H707" t="str">
        <f t="shared" ref="H707:H738" si="35">VLOOKUP(MOD(E707,14),$Q$2:$R$5,2,TRUE)&amp;" "&amp;_xlfn.CEILING.MATH((E707)/14)</f>
        <v>Mid 51</v>
      </c>
    </row>
    <row r="708" spans="1:8" x14ac:dyDescent="0.25">
      <c r="A708" t="s">
        <v>632</v>
      </c>
      <c r="B708" t="s">
        <v>116</v>
      </c>
      <c r="C708" t="s">
        <v>631</v>
      </c>
      <c r="D708">
        <v>-319.73999999999995</v>
      </c>
      <c r="E708">
        <f t="shared" si="33"/>
        <v>707</v>
      </c>
      <c r="F708" s="12" t="b">
        <f t="shared" si="34"/>
        <v>1</v>
      </c>
      <c r="G708">
        <f>IF(F708,COUNTIFS(F$2:F708,TRUE),"")</f>
        <v>683</v>
      </c>
      <c r="H708" t="str">
        <f t="shared" si="35"/>
        <v>Mid 51</v>
      </c>
    </row>
    <row r="709" spans="1:8" x14ac:dyDescent="0.25">
      <c r="A709" t="s">
        <v>432</v>
      </c>
      <c r="B709" t="s">
        <v>116</v>
      </c>
      <c r="C709" t="s">
        <v>430</v>
      </c>
      <c r="D709">
        <v>-320.83999999999997</v>
      </c>
      <c r="E709">
        <f t="shared" si="33"/>
        <v>708</v>
      </c>
      <c r="F709" s="12" t="b">
        <f t="shared" si="34"/>
        <v>1</v>
      </c>
      <c r="G709">
        <f>IF(F709,COUNTIFS(F$2:F709,TRUE),"")</f>
        <v>684</v>
      </c>
      <c r="H709" t="str">
        <f t="shared" si="35"/>
        <v>Mid 51</v>
      </c>
    </row>
    <row r="710" spans="1:8" x14ac:dyDescent="0.25">
      <c r="A710" t="s">
        <v>414</v>
      </c>
      <c r="B710" t="s">
        <v>116</v>
      </c>
      <c r="C710" t="s">
        <v>411</v>
      </c>
      <c r="D710">
        <v>-321.08</v>
      </c>
      <c r="E710">
        <f t="shared" si="33"/>
        <v>709</v>
      </c>
      <c r="F710" s="12" t="b">
        <f t="shared" si="34"/>
        <v>1</v>
      </c>
      <c r="G710">
        <f>IF(F710,COUNTIFS(F$2:F710,TRUE),"")</f>
        <v>685</v>
      </c>
      <c r="H710" t="str">
        <f t="shared" si="35"/>
        <v>Mid 51</v>
      </c>
    </row>
    <row r="711" spans="1:8" x14ac:dyDescent="0.25">
      <c r="A711" t="s">
        <v>642</v>
      </c>
      <c r="B711" t="s">
        <v>116</v>
      </c>
      <c r="C711" t="s">
        <v>639</v>
      </c>
      <c r="D711">
        <v>-321.39999999999998</v>
      </c>
      <c r="E711">
        <f t="shared" si="33"/>
        <v>710</v>
      </c>
      <c r="F711" s="12" t="b">
        <f t="shared" si="34"/>
        <v>1</v>
      </c>
      <c r="G711">
        <f>IF(F711,COUNTIFS(F$2:F711,TRUE),"")</f>
        <v>686</v>
      </c>
      <c r="H711" t="str">
        <f t="shared" si="35"/>
        <v>Late 51</v>
      </c>
    </row>
    <row r="712" spans="1:8" x14ac:dyDescent="0.25">
      <c r="A712" t="s">
        <v>402</v>
      </c>
      <c r="B712" t="s">
        <v>116</v>
      </c>
      <c r="C712" t="s">
        <v>400</v>
      </c>
      <c r="D712">
        <v>-321.44</v>
      </c>
      <c r="E712">
        <f t="shared" si="33"/>
        <v>711</v>
      </c>
      <c r="F712" s="12" t="b">
        <f t="shared" si="34"/>
        <v>1</v>
      </c>
      <c r="G712">
        <f>IF(F712,COUNTIFS(F$2:F712,TRUE),"")</f>
        <v>687</v>
      </c>
      <c r="H712" t="str">
        <f t="shared" si="35"/>
        <v>Late 51</v>
      </c>
    </row>
    <row r="713" spans="1:8" x14ac:dyDescent="0.25">
      <c r="A713" t="s">
        <v>164</v>
      </c>
      <c r="B713" t="s">
        <v>116</v>
      </c>
      <c r="C713" t="s">
        <v>162</v>
      </c>
      <c r="D713">
        <v>-321.79999999999995</v>
      </c>
      <c r="E713">
        <f t="shared" si="33"/>
        <v>712</v>
      </c>
      <c r="F713" s="12" t="b">
        <f t="shared" si="34"/>
        <v>1</v>
      </c>
      <c r="G713">
        <f>IF(F713,COUNTIFS(F$2:F713,TRUE),"")</f>
        <v>688</v>
      </c>
      <c r="H713" t="str">
        <f t="shared" si="35"/>
        <v>Late 51</v>
      </c>
    </row>
    <row r="714" spans="1:8" x14ac:dyDescent="0.25">
      <c r="A714" t="s">
        <v>137</v>
      </c>
      <c r="B714" t="s">
        <v>116</v>
      </c>
      <c r="C714" t="s">
        <v>135</v>
      </c>
      <c r="D714">
        <v>-321.83999999999997</v>
      </c>
      <c r="E714">
        <f t="shared" si="33"/>
        <v>725</v>
      </c>
      <c r="F714" s="12" t="b">
        <f t="shared" si="34"/>
        <v>1</v>
      </c>
      <c r="G714">
        <f>IF(F714,COUNTIFS(F$2:F714,TRUE),"")</f>
        <v>689</v>
      </c>
      <c r="H714" t="str">
        <f t="shared" si="35"/>
        <v>Late 52</v>
      </c>
    </row>
    <row r="715" spans="1:8" x14ac:dyDescent="0.25">
      <c r="A715" t="s">
        <v>165</v>
      </c>
      <c r="B715" t="s">
        <v>116</v>
      </c>
      <c r="C715" t="s">
        <v>162</v>
      </c>
      <c r="D715">
        <v>-321.83999999999997</v>
      </c>
      <c r="E715">
        <f t="shared" si="33"/>
        <v>725</v>
      </c>
      <c r="F715" s="12" t="b">
        <f t="shared" si="34"/>
        <v>1</v>
      </c>
      <c r="G715">
        <f>IF(F715,COUNTIFS(F$2:F715,TRUE),"")</f>
        <v>690</v>
      </c>
      <c r="H715" t="str">
        <f t="shared" si="35"/>
        <v>Late 52</v>
      </c>
    </row>
    <row r="716" spans="1:8" x14ac:dyDescent="0.25">
      <c r="A716" t="s">
        <v>169</v>
      </c>
      <c r="B716" t="s">
        <v>116</v>
      </c>
      <c r="C716" t="s">
        <v>167</v>
      </c>
      <c r="D716">
        <v>-321.83999999999997</v>
      </c>
      <c r="E716">
        <f t="shared" si="33"/>
        <v>725</v>
      </c>
      <c r="F716" s="12" t="b">
        <f t="shared" si="34"/>
        <v>1</v>
      </c>
      <c r="G716">
        <f>IF(F716,COUNTIFS(F$2:F716,TRUE),"")</f>
        <v>691</v>
      </c>
      <c r="H716" t="str">
        <f t="shared" si="35"/>
        <v>Late 52</v>
      </c>
    </row>
    <row r="717" spans="1:8" x14ac:dyDescent="0.25">
      <c r="A717" t="s">
        <v>170</v>
      </c>
      <c r="B717" t="s">
        <v>116</v>
      </c>
      <c r="C717" t="s">
        <v>167</v>
      </c>
      <c r="D717">
        <v>-321.83999999999997</v>
      </c>
      <c r="E717">
        <f t="shared" si="33"/>
        <v>725</v>
      </c>
      <c r="F717" s="12" t="b">
        <f t="shared" si="34"/>
        <v>1</v>
      </c>
      <c r="G717">
        <f>IF(F717,COUNTIFS(F$2:F717,TRUE),"")</f>
        <v>692</v>
      </c>
      <c r="H717" t="str">
        <f t="shared" si="35"/>
        <v>Late 52</v>
      </c>
    </row>
    <row r="718" spans="1:8" x14ac:dyDescent="0.25">
      <c r="A718" t="s">
        <v>174</v>
      </c>
      <c r="B718" t="s">
        <v>116</v>
      </c>
      <c r="C718" t="s">
        <v>172</v>
      </c>
      <c r="D718">
        <v>-321.83999999999997</v>
      </c>
      <c r="E718">
        <f t="shared" si="33"/>
        <v>725</v>
      </c>
      <c r="F718" s="12" t="b">
        <f t="shared" si="34"/>
        <v>1</v>
      </c>
      <c r="G718">
        <f>IF(F718,COUNTIFS(F$2:F718,TRUE),"")</f>
        <v>693</v>
      </c>
      <c r="H718" t="str">
        <f t="shared" si="35"/>
        <v>Late 52</v>
      </c>
    </row>
    <row r="719" spans="1:8" x14ac:dyDescent="0.25">
      <c r="A719" t="s">
        <v>178</v>
      </c>
      <c r="B719" t="s">
        <v>116</v>
      </c>
      <c r="C719" t="s">
        <v>176</v>
      </c>
      <c r="D719">
        <v>-321.83999999999997</v>
      </c>
      <c r="E719">
        <f t="shared" si="33"/>
        <v>725</v>
      </c>
      <c r="F719" s="12" t="b">
        <f t="shared" si="34"/>
        <v>1</v>
      </c>
      <c r="G719">
        <f>IF(F719,COUNTIFS(F$2:F719,TRUE),"")</f>
        <v>694</v>
      </c>
      <c r="H719" t="str">
        <f t="shared" si="35"/>
        <v>Late 52</v>
      </c>
    </row>
    <row r="720" spans="1:8" x14ac:dyDescent="0.25">
      <c r="A720" t="s">
        <v>276</v>
      </c>
      <c r="B720" t="s">
        <v>116</v>
      </c>
      <c r="C720" t="s">
        <v>273</v>
      </c>
      <c r="D720">
        <v>-321.83999999999997</v>
      </c>
      <c r="E720">
        <f t="shared" si="33"/>
        <v>725</v>
      </c>
      <c r="F720" s="12" t="b">
        <f t="shared" si="34"/>
        <v>1</v>
      </c>
      <c r="G720">
        <f>IF(F720,COUNTIFS(F$2:F720,TRUE),"")</f>
        <v>695</v>
      </c>
      <c r="H720" t="str">
        <f t="shared" si="35"/>
        <v>Late 52</v>
      </c>
    </row>
    <row r="721" spans="1:8" x14ac:dyDescent="0.25">
      <c r="A721" t="s">
        <v>277</v>
      </c>
      <c r="B721" t="s">
        <v>116</v>
      </c>
      <c r="C721" t="s">
        <v>273</v>
      </c>
      <c r="D721">
        <v>-321.83999999999997</v>
      </c>
      <c r="E721">
        <f t="shared" si="33"/>
        <v>725</v>
      </c>
      <c r="F721" s="12" t="b">
        <f t="shared" si="34"/>
        <v>1</v>
      </c>
      <c r="G721">
        <f>IF(F721,COUNTIFS(F$2:F721,TRUE),"")</f>
        <v>696</v>
      </c>
      <c r="H721" t="str">
        <f t="shared" si="35"/>
        <v>Late 52</v>
      </c>
    </row>
    <row r="722" spans="1:8" x14ac:dyDescent="0.25">
      <c r="A722" t="s">
        <v>281</v>
      </c>
      <c r="B722" t="s">
        <v>116</v>
      </c>
      <c r="C722" t="s">
        <v>279</v>
      </c>
      <c r="D722">
        <v>-321.83999999999997</v>
      </c>
      <c r="E722">
        <f t="shared" si="33"/>
        <v>725</v>
      </c>
      <c r="F722" s="12" t="b">
        <f t="shared" si="34"/>
        <v>1</v>
      </c>
      <c r="G722">
        <f>IF(F722,COUNTIFS(F$2:F722,TRUE),"")</f>
        <v>697</v>
      </c>
      <c r="H722" t="str">
        <f t="shared" si="35"/>
        <v>Late 52</v>
      </c>
    </row>
    <row r="723" spans="1:8" x14ac:dyDescent="0.25">
      <c r="A723" t="s">
        <v>395</v>
      </c>
      <c r="B723" t="s">
        <v>116</v>
      </c>
      <c r="C723" t="s">
        <v>393</v>
      </c>
      <c r="D723">
        <v>-321.83999999999997</v>
      </c>
      <c r="E723">
        <f t="shared" si="33"/>
        <v>725</v>
      </c>
      <c r="F723" s="12" t="b">
        <f t="shared" si="34"/>
        <v>1</v>
      </c>
      <c r="G723">
        <f>IF(F723,COUNTIFS(F$2:F723,TRUE),"")</f>
        <v>698</v>
      </c>
      <c r="H723" t="str">
        <f t="shared" si="35"/>
        <v>Late 52</v>
      </c>
    </row>
    <row r="724" spans="1:8" x14ac:dyDescent="0.25">
      <c r="A724" t="s">
        <v>406</v>
      </c>
      <c r="B724" t="s">
        <v>116</v>
      </c>
      <c r="C724" t="s">
        <v>404</v>
      </c>
      <c r="D724">
        <v>-321.83999999999997</v>
      </c>
      <c r="E724">
        <f t="shared" si="33"/>
        <v>725</v>
      </c>
      <c r="F724" s="12" t="b">
        <f t="shared" si="34"/>
        <v>1</v>
      </c>
      <c r="G724">
        <f>IF(F724,COUNTIFS(F$2:F724,TRUE),"")</f>
        <v>699</v>
      </c>
      <c r="H724" t="str">
        <f t="shared" si="35"/>
        <v>Late 52</v>
      </c>
    </row>
    <row r="725" spans="1:8" x14ac:dyDescent="0.25">
      <c r="A725" t="s">
        <v>415</v>
      </c>
      <c r="B725" t="s">
        <v>116</v>
      </c>
      <c r="C725" t="s">
        <v>411</v>
      </c>
      <c r="D725">
        <v>-321.83999999999997</v>
      </c>
      <c r="E725">
        <f t="shared" si="33"/>
        <v>725</v>
      </c>
      <c r="F725" s="12" t="b">
        <f t="shared" si="34"/>
        <v>1</v>
      </c>
      <c r="G725">
        <f>IF(F725,COUNTIFS(F$2:F725,TRUE),"")</f>
        <v>700</v>
      </c>
      <c r="H725" t="str">
        <f t="shared" si="35"/>
        <v>Late 52</v>
      </c>
    </row>
    <row r="726" spans="1:8" x14ac:dyDescent="0.25">
      <c r="A726" t="s">
        <v>419</v>
      </c>
      <c r="B726" t="s">
        <v>116</v>
      </c>
      <c r="C726" t="s">
        <v>417</v>
      </c>
      <c r="D726">
        <v>-321.83999999999997</v>
      </c>
      <c r="E726">
        <f t="shared" si="33"/>
        <v>725</v>
      </c>
      <c r="F726" s="12" t="b">
        <f t="shared" si="34"/>
        <v>1</v>
      </c>
      <c r="G726">
        <f>IF(F726,COUNTIFS(F$2:F726,TRUE),"")</f>
        <v>701</v>
      </c>
      <c r="H726" t="str">
        <f t="shared" si="35"/>
        <v>Late 52</v>
      </c>
    </row>
    <row r="727" spans="1:8" x14ac:dyDescent="0.25">
      <c r="A727" t="s">
        <v>423</v>
      </c>
      <c r="B727" t="s">
        <v>116</v>
      </c>
      <c r="C727" t="s">
        <v>421</v>
      </c>
      <c r="D727">
        <v>-321.83999999999997</v>
      </c>
      <c r="E727">
        <f t="shared" si="33"/>
        <v>725</v>
      </c>
      <c r="F727" s="12" t="b">
        <f t="shared" si="34"/>
        <v>1</v>
      </c>
      <c r="G727">
        <f>IF(F727,COUNTIFS(F$2:F727,TRUE),"")</f>
        <v>702</v>
      </c>
      <c r="H727" t="str">
        <f t="shared" si="35"/>
        <v>Late 52</v>
      </c>
    </row>
    <row r="728" spans="1:8" x14ac:dyDescent="0.25">
      <c r="A728" t="s">
        <v>424</v>
      </c>
      <c r="B728" t="s">
        <v>116</v>
      </c>
      <c r="C728" t="s">
        <v>421</v>
      </c>
      <c r="D728">
        <v>-321.83999999999997</v>
      </c>
      <c r="E728">
        <f t="shared" si="33"/>
        <v>725</v>
      </c>
      <c r="F728" s="12" t="b">
        <f t="shared" si="34"/>
        <v>1</v>
      </c>
      <c r="G728">
        <f>IF(F728,COUNTIFS(F$2:F728,TRUE),"")</f>
        <v>703</v>
      </c>
      <c r="H728" t="str">
        <f t="shared" si="35"/>
        <v>Late 52</v>
      </c>
    </row>
    <row r="729" spans="1:8" x14ac:dyDescent="0.25">
      <c r="A729" t="s">
        <v>428</v>
      </c>
      <c r="B729" t="s">
        <v>116</v>
      </c>
      <c r="C729" t="s">
        <v>426</v>
      </c>
      <c r="D729">
        <v>-321.83999999999997</v>
      </c>
      <c r="E729">
        <f t="shared" si="33"/>
        <v>725</v>
      </c>
      <c r="F729" s="12" t="b">
        <f t="shared" si="34"/>
        <v>1</v>
      </c>
      <c r="G729">
        <f>IF(F729,COUNTIFS(F$2:F729,TRUE),"")</f>
        <v>704</v>
      </c>
      <c r="H729" t="str">
        <f t="shared" si="35"/>
        <v>Late 52</v>
      </c>
    </row>
    <row r="730" spans="1:8" x14ac:dyDescent="0.25">
      <c r="A730" t="s">
        <v>633</v>
      </c>
      <c r="B730" t="s">
        <v>116</v>
      </c>
      <c r="C730" t="s">
        <v>631</v>
      </c>
      <c r="D730">
        <v>-321.83999999999997</v>
      </c>
      <c r="E730">
        <f t="shared" si="33"/>
        <v>725</v>
      </c>
      <c r="F730" s="12" t="b">
        <f t="shared" si="34"/>
        <v>1</v>
      </c>
      <c r="G730">
        <f>IF(F730,COUNTIFS(F$2:F730,TRUE),"")</f>
        <v>705</v>
      </c>
      <c r="H730" t="str">
        <f t="shared" si="35"/>
        <v>Late 52</v>
      </c>
    </row>
    <row r="731" spans="1:8" x14ac:dyDescent="0.25">
      <c r="A731" t="s">
        <v>637</v>
      </c>
      <c r="B731" t="s">
        <v>116</v>
      </c>
      <c r="C731" t="s">
        <v>635</v>
      </c>
      <c r="D731">
        <v>-321.83999999999997</v>
      </c>
      <c r="E731">
        <f t="shared" si="33"/>
        <v>725</v>
      </c>
      <c r="F731" s="12" t="b">
        <f t="shared" si="34"/>
        <v>1</v>
      </c>
      <c r="G731">
        <f>IF(F731,COUNTIFS(F$2:F731,TRUE),"")</f>
        <v>706</v>
      </c>
      <c r="H731" t="str">
        <f t="shared" si="35"/>
        <v>Late 52</v>
      </c>
    </row>
    <row r="732" spans="1:8" x14ac:dyDescent="0.25">
      <c r="A732" t="s">
        <v>646</v>
      </c>
      <c r="B732" t="s">
        <v>116</v>
      </c>
      <c r="C732" t="s">
        <v>644</v>
      </c>
      <c r="D732">
        <v>-321.83999999999997</v>
      </c>
      <c r="E732">
        <f t="shared" si="33"/>
        <v>725</v>
      </c>
      <c r="F732" s="12" t="b">
        <f t="shared" si="34"/>
        <v>1</v>
      </c>
      <c r="G732">
        <f>IF(F732,COUNTIFS(F$2:F732,TRUE),"")</f>
        <v>707</v>
      </c>
      <c r="H732" t="str">
        <f t="shared" si="35"/>
        <v>Late 52</v>
      </c>
    </row>
    <row r="733" spans="1:8" x14ac:dyDescent="0.25">
      <c r="A733" t="s">
        <v>776</v>
      </c>
      <c r="B733" t="s">
        <v>116</v>
      </c>
      <c r="C733" t="s">
        <v>774</v>
      </c>
      <c r="D733">
        <v>-321.83999999999997</v>
      </c>
      <c r="E733">
        <f t="shared" si="33"/>
        <v>725</v>
      </c>
      <c r="F733" s="12" t="b">
        <f t="shared" si="34"/>
        <v>1</v>
      </c>
      <c r="G733">
        <f>IF(F733,COUNTIFS(F$2:F733,TRUE),"")</f>
        <v>708</v>
      </c>
      <c r="H733" t="str">
        <f t="shared" si="35"/>
        <v>Late 52</v>
      </c>
    </row>
    <row r="734" spans="1:8" x14ac:dyDescent="0.25">
      <c r="A734" t="s">
        <v>777</v>
      </c>
      <c r="B734" t="s">
        <v>116</v>
      </c>
      <c r="C734" t="s">
        <v>774</v>
      </c>
      <c r="D734">
        <v>-321.83999999999997</v>
      </c>
      <c r="E734">
        <f t="shared" si="33"/>
        <v>725</v>
      </c>
      <c r="F734" s="12" t="b">
        <f t="shared" si="34"/>
        <v>1</v>
      </c>
      <c r="G734">
        <f>IF(F734,COUNTIFS(F$2:F734,TRUE),"")</f>
        <v>709</v>
      </c>
      <c r="H734" t="str">
        <f t="shared" si="35"/>
        <v>Late 52</v>
      </c>
    </row>
    <row r="735" spans="1:8" x14ac:dyDescent="0.25">
      <c r="A735" t="s">
        <v>577</v>
      </c>
      <c r="B735" t="s">
        <v>116</v>
      </c>
      <c r="C735" t="s">
        <v>779</v>
      </c>
      <c r="D735">
        <v>-321.83999999999997</v>
      </c>
      <c r="E735">
        <f t="shared" si="33"/>
        <v>725</v>
      </c>
      <c r="F735" s="12" t="b">
        <f t="shared" si="34"/>
        <v>1</v>
      </c>
      <c r="G735">
        <f>IF(F735,COUNTIFS(F$2:F735,TRUE),"")</f>
        <v>710</v>
      </c>
      <c r="H735" t="str">
        <f t="shared" si="35"/>
        <v>Late 52</v>
      </c>
    </row>
    <row r="736" spans="1:8" x14ac:dyDescent="0.25">
      <c r="A736" t="s">
        <v>781</v>
      </c>
      <c r="B736" t="s">
        <v>116</v>
      </c>
      <c r="C736" t="s">
        <v>779</v>
      </c>
      <c r="D736">
        <v>-321.83999999999997</v>
      </c>
      <c r="E736">
        <f t="shared" si="33"/>
        <v>725</v>
      </c>
      <c r="F736" s="12" t="b">
        <f t="shared" si="34"/>
        <v>1</v>
      </c>
      <c r="G736">
        <f>IF(F736,COUNTIFS(F$2:F736,TRUE),"")</f>
        <v>711</v>
      </c>
      <c r="H736" t="str">
        <f t="shared" si="35"/>
        <v>Late 52</v>
      </c>
    </row>
    <row r="737" spans="1:8" x14ac:dyDescent="0.25">
      <c r="A737" t="s">
        <v>785</v>
      </c>
      <c r="B737" t="s">
        <v>116</v>
      </c>
      <c r="C737" t="s">
        <v>783</v>
      </c>
      <c r="D737">
        <v>-321.83999999999997</v>
      </c>
      <c r="E737">
        <f t="shared" si="33"/>
        <v>725</v>
      </c>
      <c r="F737" s="12" t="b">
        <f t="shared" si="34"/>
        <v>1</v>
      </c>
      <c r="G737">
        <f>IF(F737,COUNTIFS(F$2:F737,TRUE),"")</f>
        <v>712</v>
      </c>
      <c r="H737" t="str">
        <f t="shared" si="35"/>
        <v>Late 52</v>
      </c>
    </row>
    <row r="738" spans="1:8" x14ac:dyDescent="0.25">
      <c r="A738" t="s">
        <v>789</v>
      </c>
      <c r="B738" t="s">
        <v>116</v>
      </c>
      <c r="C738" t="s">
        <v>787</v>
      </c>
      <c r="D738">
        <v>-321.83999999999997</v>
      </c>
      <c r="E738">
        <f t="shared" si="33"/>
        <v>725</v>
      </c>
      <c r="F738" s="12" t="b">
        <f t="shared" si="34"/>
        <v>1</v>
      </c>
      <c r="G738">
        <f>IF(F738,COUNTIFS(F$2:F738,TRUE),"")</f>
        <v>713</v>
      </c>
      <c r="H738" t="str">
        <f t="shared" si="35"/>
        <v>Late 52</v>
      </c>
    </row>
  </sheetData>
  <autoFilter ref="A1:E738">
    <sortState ref="A2:E738">
      <sortCondition ref="E1:E738"/>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223</vt:i4>
      </vt:variant>
    </vt:vector>
  </HeadingPairs>
  <TitlesOfParts>
    <vt:vector size="231" baseType="lpstr">
      <vt:lpstr>Sheet1</vt:lpstr>
      <vt:lpstr>p1</vt:lpstr>
      <vt:lpstr>p2</vt:lpstr>
      <vt:lpstr>p3</vt:lpstr>
      <vt:lpstr>p4</vt:lpstr>
      <vt:lpstr>p5</vt:lpstr>
      <vt:lpstr>p6</vt:lpstr>
      <vt:lpstr>Total Rank</vt:lpstr>
      <vt:lpstr>Sheet1!ExternalData_10</vt:lpstr>
      <vt:lpstr>Sheet1!ExternalData_100</vt:lpstr>
      <vt:lpstr>Sheet1!ExternalData_101</vt:lpstr>
      <vt:lpstr>Sheet1!ExternalData_102</vt:lpstr>
      <vt:lpstr>Sheet1!ExternalData_103</vt:lpstr>
      <vt:lpstr>Sheet1!ExternalData_104</vt:lpstr>
      <vt:lpstr>Sheet1!ExternalData_105</vt:lpstr>
      <vt:lpstr>Sheet1!ExternalData_106</vt:lpstr>
      <vt:lpstr>Sheet1!ExternalData_107</vt:lpstr>
      <vt:lpstr>Sheet1!ExternalData_108</vt:lpstr>
      <vt:lpstr>Sheet1!ExternalData_109</vt:lpstr>
      <vt:lpstr>Sheet1!ExternalData_11</vt:lpstr>
      <vt:lpstr>Sheet1!ExternalData_110</vt:lpstr>
      <vt:lpstr>Sheet1!ExternalData_111</vt:lpstr>
      <vt:lpstr>Sheet1!ExternalData_112</vt:lpstr>
      <vt:lpstr>Sheet1!ExternalData_113</vt:lpstr>
      <vt:lpstr>Sheet1!ExternalData_114</vt:lpstr>
      <vt:lpstr>Sheet1!ExternalData_115</vt:lpstr>
      <vt:lpstr>Sheet1!ExternalData_116</vt:lpstr>
      <vt:lpstr>Sheet1!ExternalData_117</vt:lpstr>
      <vt:lpstr>Sheet1!ExternalData_118</vt:lpstr>
      <vt:lpstr>Sheet1!ExternalData_119</vt:lpstr>
      <vt:lpstr>Sheet1!ExternalData_12</vt:lpstr>
      <vt:lpstr>Sheet1!ExternalData_120</vt:lpstr>
      <vt:lpstr>Sheet1!ExternalData_121</vt:lpstr>
      <vt:lpstr>Sheet1!ExternalData_122</vt:lpstr>
      <vt:lpstr>Sheet1!ExternalData_123</vt:lpstr>
      <vt:lpstr>Sheet1!ExternalData_124</vt:lpstr>
      <vt:lpstr>Sheet1!ExternalData_125</vt:lpstr>
      <vt:lpstr>Sheet1!ExternalData_126</vt:lpstr>
      <vt:lpstr>Sheet1!ExternalData_127</vt:lpstr>
      <vt:lpstr>Sheet1!ExternalData_128</vt:lpstr>
      <vt:lpstr>Sheet1!ExternalData_129</vt:lpstr>
      <vt:lpstr>Sheet1!ExternalData_13</vt:lpstr>
      <vt:lpstr>Sheet1!ExternalData_130</vt:lpstr>
      <vt:lpstr>Sheet1!ExternalData_131</vt:lpstr>
      <vt:lpstr>Sheet1!ExternalData_132</vt:lpstr>
      <vt:lpstr>Sheet1!ExternalData_133</vt:lpstr>
      <vt:lpstr>Sheet1!ExternalData_134</vt:lpstr>
      <vt:lpstr>Sheet1!ExternalData_135</vt:lpstr>
      <vt:lpstr>Sheet1!ExternalData_136</vt:lpstr>
      <vt:lpstr>Sheet1!ExternalData_137</vt:lpstr>
      <vt:lpstr>Sheet1!ExternalData_138</vt:lpstr>
      <vt:lpstr>Sheet1!ExternalData_139</vt:lpstr>
      <vt:lpstr>Sheet1!ExternalData_14</vt:lpstr>
      <vt:lpstr>Sheet1!ExternalData_140</vt:lpstr>
      <vt:lpstr>Sheet1!ExternalData_141</vt:lpstr>
      <vt:lpstr>Sheet1!ExternalData_142</vt:lpstr>
      <vt:lpstr>Sheet1!ExternalData_143</vt:lpstr>
      <vt:lpstr>Sheet1!ExternalData_144</vt:lpstr>
      <vt:lpstr>Sheet1!ExternalData_145</vt:lpstr>
      <vt:lpstr>Sheet1!ExternalData_146</vt:lpstr>
      <vt:lpstr>Sheet1!ExternalData_147</vt:lpstr>
      <vt:lpstr>Sheet1!ExternalData_148</vt:lpstr>
      <vt:lpstr>Sheet1!ExternalData_149</vt:lpstr>
      <vt:lpstr>Sheet1!ExternalData_15</vt:lpstr>
      <vt:lpstr>Sheet1!ExternalData_150</vt:lpstr>
      <vt:lpstr>Sheet1!ExternalData_151</vt:lpstr>
      <vt:lpstr>Sheet1!ExternalData_152</vt:lpstr>
      <vt:lpstr>Sheet1!ExternalData_153</vt:lpstr>
      <vt:lpstr>Sheet1!ExternalData_154</vt:lpstr>
      <vt:lpstr>Sheet1!ExternalData_155</vt:lpstr>
      <vt:lpstr>Sheet1!ExternalData_156</vt:lpstr>
      <vt:lpstr>Sheet1!ExternalData_157</vt:lpstr>
      <vt:lpstr>Sheet1!ExternalData_158</vt:lpstr>
      <vt:lpstr>Sheet1!ExternalData_159</vt:lpstr>
      <vt:lpstr>Sheet1!ExternalData_16</vt:lpstr>
      <vt:lpstr>Sheet1!ExternalData_160</vt:lpstr>
      <vt:lpstr>Sheet1!ExternalData_161</vt:lpstr>
      <vt:lpstr>Sheet1!ExternalData_162</vt:lpstr>
      <vt:lpstr>Sheet1!ExternalData_163</vt:lpstr>
      <vt:lpstr>Sheet1!ExternalData_164</vt:lpstr>
      <vt:lpstr>Sheet1!ExternalData_165</vt:lpstr>
      <vt:lpstr>Sheet1!ExternalData_166</vt:lpstr>
      <vt:lpstr>Sheet1!ExternalData_167</vt:lpstr>
      <vt:lpstr>Sheet1!ExternalData_168</vt:lpstr>
      <vt:lpstr>Sheet1!ExternalData_169</vt:lpstr>
      <vt:lpstr>Sheet1!ExternalData_17</vt:lpstr>
      <vt:lpstr>Sheet1!ExternalData_170</vt:lpstr>
      <vt:lpstr>Sheet1!ExternalData_171</vt:lpstr>
      <vt:lpstr>Sheet1!ExternalData_172</vt:lpstr>
      <vt:lpstr>Sheet1!ExternalData_173</vt:lpstr>
      <vt:lpstr>Sheet1!ExternalData_174</vt:lpstr>
      <vt:lpstr>Sheet1!ExternalData_175</vt:lpstr>
      <vt:lpstr>Sheet1!ExternalData_176</vt:lpstr>
      <vt:lpstr>Sheet1!ExternalData_177</vt:lpstr>
      <vt:lpstr>Sheet1!ExternalData_178</vt:lpstr>
      <vt:lpstr>Sheet1!ExternalData_179</vt:lpstr>
      <vt:lpstr>Sheet1!ExternalData_18</vt:lpstr>
      <vt:lpstr>Sheet1!ExternalData_180</vt:lpstr>
      <vt:lpstr>Sheet1!ExternalData_181</vt:lpstr>
      <vt:lpstr>Sheet1!ExternalData_182</vt:lpstr>
      <vt:lpstr>Sheet1!ExternalData_183</vt:lpstr>
      <vt:lpstr>Sheet1!ExternalData_184</vt:lpstr>
      <vt:lpstr>Sheet1!ExternalData_185</vt:lpstr>
      <vt:lpstr>Sheet1!ExternalData_186</vt:lpstr>
      <vt:lpstr>Sheet1!ExternalData_187</vt:lpstr>
      <vt:lpstr>Sheet1!ExternalData_188</vt:lpstr>
      <vt:lpstr>Sheet1!ExternalData_189</vt:lpstr>
      <vt:lpstr>Sheet1!ExternalData_19</vt:lpstr>
      <vt:lpstr>Sheet1!ExternalData_190</vt:lpstr>
      <vt:lpstr>Sheet1!ExternalData_191</vt:lpstr>
      <vt:lpstr>Sheet1!ExternalData_192</vt:lpstr>
      <vt:lpstr>Sheet1!ExternalData_193</vt:lpstr>
      <vt:lpstr>Sheet1!ExternalData_194</vt:lpstr>
      <vt:lpstr>Sheet1!ExternalData_195</vt:lpstr>
      <vt:lpstr>Sheet1!ExternalData_196</vt:lpstr>
      <vt:lpstr>Sheet1!ExternalData_197</vt:lpstr>
      <vt:lpstr>Sheet1!ExternalData_198</vt:lpstr>
      <vt:lpstr>Sheet1!ExternalData_199</vt:lpstr>
      <vt:lpstr>Sheet1!ExternalData_20</vt:lpstr>
      <vt:lpstr>Sheet1!ExternalData_200</vt:lpstr>
      <vt:lpstr>Sheet1!ExternalData_201</vt:lpstr>
      <vt:lpstr>Sheet1!ExternalData_202</vt:lpstr>
      <vt:lpstr>Sheet1!ExternalData_203</vt:lpstr>
      <vt:lpstr>Sheet1!ExternalData_204</vt:lpstr>
      <vt:lpstr>Sheet1!ExternalData_205</vt:lpstr>
      <vt:lpstr>Sheet1!ExternalData_206</vt:lpstr>
      <vt:lpstr>Sheet1!ExternalData_207</vt:lpstr>
      <vt:lpstr>Sheet1!ExternalData_208</vt:lpstr>
      <vt:lpstr>Sheet1!ExternalData_209</vt:lpstr>
      <vt:lpstr>Sheet1!ExternalData_21</vt:lpstr>
      <vt:lpstr>Sheet1!ExternalData_210</vt:lpstr>
      <vt:lpstr>Sheet1!ExternalData_211</vt:lpstr>
      <vt:lpstr>Sheet1!ExternalData_212</vt:lpstr>
      <vt:lpstr>Sheet1!ExternalData_213</vt:lpstr>
      <vt:lpstr>Sheet1!ExternalData_214</vt:lpstr>
      <vt:lpstr>Sheet1!ExternalData_215</vt:lpstr>
      <vt:lpstr>Sheet1!ExternalData_216</vt:lpstr>
      <vt:lpstr>Sheet1!ExternalData_217</vt:lpstr>
      <vt:lpstr>Sheet1!ExternalData_218</vt:lpstr>
      <vt:lpstr>Sheet1!ExternalData_219</vt:lpstr>
      <vt:lpstr>Sheet1!ExternalData_22</vt:lpstr>
      <vt:lpstr>Sheet1!ExternalData_220</vt:lpstr>
      <vt:lpstr>Sheet1!ExternalData_221</vt:lpstr>
      <vt:lpstr>Sheet1!ExternalData_222</vt:lpstr>
      <vt:lpstr>Sheet1!ExternalData_223</vt:lpstr>
      <vt:lpstr>Sheet1!ExternalData_224</vt:lpstr>
      <vt:lpstr>Sheet1!ExternalData_225</vt:lpstr>
      <vt:lpstr>Sheet1!ExternalData_226</vt:lpstr>
      <vt:lpstr>Sheet1!ExternalData_23</vt:lpstr>
      <vt:lpstr>Sheet1!ExternalData_24</vt:lpstr>
      <vt:lpstr>Sheet1!ExternalData_25</vt:lpstr>
      <vt:lpstr>Sheet1!ExternalData_26</vt:lpstr>
      <vt:lpstr>Sheet1!ExternalData_27</vt:lpstr>
      <vt:lpstr>Sheet1!ExternalData_28</vt:lpstr>
      <vt:lpstr>Sheet1!ExternalData_29</vt:lpstr>
      <vt:lpstr>Sheet1!ExternalData_30</vt:lpstr>
      <vt:lpstr>Sheet1!ExternalData_31</vt:lpstr>
      <vt:lpstr>Sheet1!ExternalData_32</vt:lpstr>
      <vt:lpstr>Sheet1!ExternalData_33</vt:lpstr>
      <vt:lpstr>Sheet1!ExternalData_34</vt:lpstr>
      <vt:lpstr>Sheet1!ExternalData_35</vt:lpstr>
      <vt:lpstr>Sheet1!ExternalData_36</vt:lpstr>
      <vt:lpstr>Sheet1!ExternalData_37</vt:lpstr>
      <vt:lpstr>Sheet1!ExternalData_38</vt:lpstr>
      <vt:lpstr>Sheet1!ExternalData_39</vt:lpstr>
      <vt:lpstr>Sheet1!ExternalData_40</vt:lpstr>
      <vt:lpstr>Sheet1!ExternalData_41</vt:lpstr>
      <vt:lpstr>Sheet1!ExternalData_42</vt:lpstr>
      <vt:lpstr>Sheet1!ExternalData_43</vt:lpstr>
      <vt:lpstr>Sheet1!ExternalData_44</vt:lpstr>
      <vt:lpstr>Sheet1!ExternalData_45</vt:lpstr>
      <vt:lpstr>Sheet1!ExternalData_46</vt:lpstr>
      <vt:lpstr>Sheet1!ExternalData_47</vt:lpstr>
      <vt:lpstr>Sheet1!ExternalData_48</vt:lpstr>
      <vt:lpstr>Sheet1!ExternalData_49</vt:lpstr>
      <vt:lpstr>Sheet1!ExternalData_5</vt:lpstr>
      <vt:lpstr>Sheet1!ExternalData_50</vt:lpstr>
      <vt:lpstr>Sheet1!ExternalData_51</vt:lpstr>
      <vt:lpstr>Sheet1!ExternalData_52</vt:lpstr>
      <vt:lpstr>Sheet1!ExternalData_53</vt:lpstr>
      <vt:lpstr>Sheet1!ExternalData_54</vt:lpstr>
      <vt:lpstr>Sheet1!ExternalData_55</vt:lpstr>
      <vt:lpstr>Sheet1!ExternalData_56</vt:lpstr>
      <vt:lpstr>Sheet1!ExternalData_57</vt:lpstr>
      <vt:lpstr>Sheet1!ExternalData_58</vt:lpstr>
      <vt:lpstr>Sheet1!ExternalData_59</vt:lpstr>
      <vt:lpstr>Sheet1!ExternalData_6</vt:lpstr>
      <vt:lpstr>Sheet1!ExternalData_60</vt:lpstr>
      <vt:lpstr>Sheet1!ExternalData_61</vt:lpstr>
      <vt:lpstr>Sheet1!ExternalData_62</vt:lpstr>
      <vt:lpstr>Sheet1!ExternalData_63</vt:lpstr>
      <vt:lpstr>Sheet1!ExternalData_64</vt:lpstr>
      <vt:lpstr>Sheet1!ExternalData_65</vt:lpstr>
      <vt:lpstr>Sheet1!ExternalData_66</vt:lpstr>
      <vt:lpstr>Sheet1!ExternalData_67</vt:lpstr>
      <vt:lpstr>Sheet1!ExternalData_68</vt:lpstr>
      <vt:lpstr>Sheet1!ExternalData_69</vt:lpstr>
      <vt:lpstr>Sheet1!ExternalData_7</vt:lpstr>
      <vt:lpstr>Sheet1!ExternalData_70</vt:lpstr>
      <vt:lpstr>Sheet1!ExternalData_71</vt:lpstr>
      <vt:lpstr>Sheet1!ExternalData_72</vt:lpstr>
      <vt:lpstr>Sheet1!ExternalData_73</vt:lpstr>
      <vt:lpstr>Sheet1!ExternalData_74</vt:lpstr>
      <vt:lpstr>Sheet1!ExternalData_75</vt:lpstr>
      <vt:lpstr>Sheet1!ExternalData_76</vt:lpstr>
      <vt:lpstr>Sheet1!ExternalData_77</vt:lpstr>
      <vt:lpstr>Sheet1!ExternalData_78</vt:lpstr>
      <vt:lpstr>Sheet1!ExternalData_79</vt:lpstr>
      <vt:lpstr>Sheet1!ExternalData_8</vt:lpstr>
      <vt:lpstr>Sheet1!ExternalData_80</vt:lpstr>
      <vt:lpstr>Sheet1!ExternalData_81</vt:lpstr>
      <vt:lpstr>Sheet1!ExternalData_82</vt:lpstr>
      <vt:lpstr>Sheet1!ExternalData_83</vt:lpstr>
      <vt:lpstr>Sheet1!ExternalData_84</vt:lpstr>
      <vt:lpstr>Sheet1!ExternalData_85</vt:lpstr>
      <vt:lpstr>Sheet1!ExternalData_86</vt:lpstr>
      <vt:lpstr>Sheet1!ExternalData_87</vt:lpstr>
      <vt:lpstr>Sheet1!ExternalData_88</vt:lpstr>
      <vt:lpstr>Sheet1!ExternalData_89</vt:lpstr>
      <vt:lpstr>Sheet1!ExternalData_9</vt:lpstr>
      <vt:lpstr>Sheet1!ExternalData_90</vt:lpstr>
      <vt:lpstr>Sheet1!ExternalData_91</vt:lpstr>
      <vt:lpstr>Sheet1!ExternalData_92</vt:lpstr>
      <vt:lpstr>Sheet1!ExternalData_93</vt:lpstr>
      <vt:lpstr>Sheet1!ExternalData_94</vt:lpstr>
      <vt:lpstr>Sheet1!ExternalData_95</vt:lpstr>
      <vt:lpstr>Sheet1!ExternalData_96</vt:lpstr>
      <vt:lpstr>Sheet1!ExternalData_97</vt:lpstr>
      <vt:lpstr>Sheet1!ExternalData_98</vt:lpstr>
      <vt:lpstr>Sheet1!ExternalData_99</vt:lpstr>
      <vt:lpstr>player_select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Burke</dc:creator>
  <cp:lastModifiedBy>James Burke</cp:lastModifiedBy>
  <dcterms:created xsi:type="dcterms:W3CDTF">2016-08-17T17:14:02Z</dcterms:created>
  <dcterms:modified xsi:type="dcterms:W3CDTF">2016-08-20T23:40:14Z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{055D8131-E93F-408C-8A9D-00AF0FC36A93}</vt:lpwstr>
  </property>
</Properties>
</file>